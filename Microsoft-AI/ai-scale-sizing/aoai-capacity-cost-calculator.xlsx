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atalog" sheetId="2" state="visible" r:id="rId4"/>
    <sheet name="LoadPeriods" sheetId="3" state="visible" r:id="rId5"/>
    <sheet name="UseCases" sheetId="4" state="visible" r:id="rId6"/>
    <sheet name="Calcs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<sst xmlns="http://schemas.openxmlformats.org/spreadsheetml/2006/main" count="202" uniqueCount="136">
  <si>
    <t xml:space="preserve">Azure OpenAI Capacity &amp; Cost Sizing Workbook</t>
  </si>
  <si>
    <t xml:space="preserve">Purpose</t>
  </si>
  <si>
    <t xml:space="preserve">Size PAYGO cost vs Provisioned Throughput (PTU) requirements per use case, with aggregation by model + PTU deployment type.</t>
  </si>
  <si>
    <t xml:space="preserve">How to use</t>
  </si>
  <si>
    <t xml:space="preserve">1.</t>
  </si>
  <si>
    <t xml:space="preserve">Catalog sheet: verify/edit model throughput + pricing metrics and PTU rates (blue cells = inputs).</t>
  </si>
  <si>
    <t xml:space="preserve">2.</t>
  </si>
  <si>
    <t xml:space="preserve">LoadPeriods sheet: define up to 3 load periods (name, hours/day, days/week).</t>
  </si>
  <si>
    <t xml:space="preserve">3.</t>
  </si>
  <si>
    <t xml:space="preserve">UseCases sheet: one row per use case - model, deployment types, tokens/request, cache %, RPM per period.</t>
  </si>
  <si>
    <t xml:space="preserve">4.</t>
  </si>
  <si>
    <t xml:space="preserve">Calcs sheet: per-use-case results (auto). Summary sheet: PTU groups + PayGO vs PTU comparison (auto).</t>
  </si>
  <si>
    <t xml:space="preserve">Method</t>
  </si>
  <si>
    <t xml:space="preserve">PayGO $/mo</t>
  </si>
  <si>
    <t xml:space="preserve">Sum over periods of: [fresh input x input rate + cached input x cached rate + output x output rate] x deployment multiplier / 1M</t>
  </si>
  <si>
    <t xml:space="preserve">Normalized TPM</t>
  </si>
  <si>
    <t xml:space="preserve">input TPM x (1 - cache rate) + output TPM x output ratio  (cached tokens are deducted 100% from PTU utilization)</t>
  </si>
  <si>
    <t xml:space="preserve">PTUs required</t>
  </si>
  <si>
    <t xml:space="preserve">peak normalized TPM / model Input-TPM-per-PTU, rounded up to the deployment minimum / increment</t>
  </si>
  <si>
    <t xml:space="preserve">Utilization</t>
  </si>
  <si>
    <t xml:space="preserve">normalized token-minutes used / deployed capacity across 730.5 h month</t>
  </si>
  <si>
    <t xml:space="preserve">Assumption</t>
  </si>
  <si>
    <t xml:space="preserve">PTU groups assume coincident peaks across use cases sharing a model+deployment (worst case).</t>
  </si>
  <si>
    <t xml:space="preserve">Sources (July 2026)</t>
  </si>
  <si>
    <t xml:space="preserve">PTU throughput &amp; minimums</t>
  </si>
  <si>
    <t xml:space="preserve">learn.microsoft.com/azure/foundry/openai/how-to/provisioned-throughput-onboarding (ms.date 2026-04-29)</t>
  </si>
  <si>
    <t xml:space="preserve">PTU sizing methodology</t>
  </si>
  <si>
    <t xml:space="preserve">learn.microsoft.com/azure/foundry/openai/concepts/provisioned-throughput</t>
  </si>
  <si>
    <t xml:space="preserve">PAYGO prices</t>
  </si>
  <si>
    <t xml:space="preserve">azure.microsoft.com/pricing/details/azure-openai (Global Standard base; verify region uplifts)</t>
  </si>
  <si>
    <t xml:space="preserve">Caution</t>
  </si>
  <si>
    <t xml:space="preserve">Prices and PTU rates change. Validate with the Azure pricing calculator and Foundry capacity calculator before committing.</t>
  </si>
  <si>
    <t xml:space="preserve">Model &amp; Deployment Metrics (inputs in blue)</t>
  </si>
  <si>
    <t xml:space="preserve">Model</t>
  </si>
  <si>
    <t xml:space="preserve">Input TPM per PTU</t>
  </si>
  <si>
    <t xml:space="preserve">Output ratio (out:in)</t>
  </si>
  <si>
    <t xml:space="preserve">Min PTU Global/DZ</t>
  </si>
  <si>
    <t xml:space="preserve">Incr Global/DZ</t>
  </si>
  <si>
    <t xml:space="preserve">Min PTU Regional</t>
  </si>
  <si>
    <t xml:space="preserve">Incr Regional</t>
  </si>
  <si>
    <t xml:space="preserve">Input $/1M</t>
  </si>
  <si>
    <t xml:space="preserve">Cached input $/1M</t>
  </si>
  <si>
    <t xml:space="preserve">Output $/1M</t>
  </si>
  <si>
    <t xml:space="preserve">Notes</t>
  </si>
  <si>
    <t xml:space="preserve">gpt-5.5</t>
  </si>
  <si>
    <t xml:space="preserve">gpt-5.4</t>
  </si>
  <si>
    <t xml:space="preserve">gpt-5.4-mini</t>
  </si>
  <si>
    <t xml:space="preserve">ESTIMATE - verify</t>
  </si>
  <si>
    <t xml:space="preserve">gpt-5.2</t>
  </si>
  <si>
    <t xml:space="preserve">gpt-5.1</t>
  </si>
  <si>
    <t xml:space="preserve">gpt-5</t>
  </si>
  <si>
    <t xml:space="preserve">gpt-5-mini</t>
  </si>
  <si>
    <t xml:space="preserve">gpt-4.1</t>
  </si>
  <si>
    <t xml:space="preserve">gpt-4.1-mini</t>
  </si>
  <si>
    <t xml:space="preserve">gpt-4.1-nano</t>
  </si>
  <si>
    <t xml:space="preserve">gpt-4o</t>
  </si>
  <si>
    <t xml:space="preserve">gpt-4o-mini</t>
  </si>
  <si>
    <t xml:space="preserve">o3</t>
  </si>
  <si>
    <t xml:space="preserve">o4-mini</t>
  </si>
  <si>
    <t xml:space="preserve">PTU rates ($ per PTU)</t>
  </si>
  <si>
    <t xml:space="preserve">Deployment type</t>
  </si>
  <si>
    <t xml:space="preserve">Hourly $/PTU/hr</t>
  </si>
  <si>
    <t xml:space="preserve">Monthly resv $/PTU</t>
  </si>
  <si>
    <t xml:space="preserve">Yearly resv $/PTU</t>
  </si>
  <si>
    <t xml:space="preserve">Global</t>
  </si>
  <si>
    <t xml:space="preserve">Data Zone</t>
  </si>
  <si>
    <t xml:space="preserve">Regional</t>
  </si>
  <si>
    <t xml:space="preserve">PAYGO price multiplier vs Global Standard</t>
  </si>
  <si>
    <t xml:space="preserve">Multiplier</t>
  </si>
  <si>
    <t xml:space="preserve">Weeks per month</t>
  </si>
  <si>
    <t xml:space="preserve">Hours per month</t>
  </si>
  <si>
    <t xml:space="preserve">Load Periods (inputs in blue)</t>
  </si>
  <si>
    <t xml:space="preserve">Period name</t>
  </si>
  <si>
    <t xml:space="preserve">Hours per day</t>
  </si>
  <si>
    <t xml:space="preserve">Days per week</t>
  </si>
  <si>
    <t xml:space="preserve">Hours per week</t>
  </si>
  <si>
    <t xml:space="preserve">Weekday - Business Hours</t>
  </si>
  <si>
    <t xml:space="preserve">Weekday - Off-Peak</t>
  </si>
  <si>
    <t xml:space="preserve">Weekend - Whole Day</t>
  </si>
  <si>
    <t xml:space="preserve">Total</t>
  </si>
  <si>
    <t xml:space="preserve">Use Cases (inputs in blue). RPM = average requests/min sustained during each period.</t>
  </si>
  <si>
    <t xml:space="preserve">Use case</t>
  </si>
  <si>
    <t xml:space="preserve">PayGO deployment</t>
  </si>
  <si>
    <t xml:space="preserve">PTU deployment</t>
  </si>
  <si>
    <t xml:space="preserve">Input tokens/req</t>
  </si>
  <si>
    <t xml:space="preserve">Output tokens/req</t>
  </si>
  <si>
    <t xml:space="preserve">Cache rate %</t>
  </si>
  <si>
    <t xml:space="preserve">RAG Chat</t>
  </si>
  <si>
    <t xml:space="preserve">Summarization</t>
  </si>
  <si>
    <t xml:space="preserve">Classification</t>
  </si>
  <si>
    <t xml:space="preserve">Per-use-case calculations (all formulas - do not edit)</t>
  </si>
  <si>
    <t xml:space="preserve">PayGO dep</t>
  </si>
  <si>
    <t xml:space="preserve">PTU dep</t>
  </si>
  <si>
    <t xml:space="preserve">In tok/req</t>
  </si>
  <si>
    <t xml:space="preserve">Out tok/req</t>
  </si>
  <si>
    <t xml:space="preserve">Cache</t>
  </si>
  <si>
    <t xml:space="preserve">RPM P1</t>
  </si>
  <si>
    <t xml:space="preserve">RPM P2</t>
  </si>
  <si>
    <t xml:space="preserve">RPM P3</t>
  </si>
  <si>
    <t xml:space="preserve">TPM/PTU</t>
  </si>
  <si>
    <t xml:space="preserve">Out ratio</t>
  </si>
  <si>
    <t xml:space="preserve">Eff in $/1M</t>
  </si>
  <si>
    <t xml:space="preserve">Eff cached $/1M</t>
  </si>
  <si>
    <t xml:space="preserve">Eff out $/1M</t>
  </si>
  <si>
    <t xml:space="preserve">In TPM P1</t>
  </si>
  <si>
    <t xml:space="preserve">In TPM P2</t>
  </si>
  <si>
    <t xml:space="preserve">In TPM P3</t>
  </si>
  <si>
    <t xml:space="preserve">Out TPM P1</t>
  </si>
  <si>
    <t xml:space="preserve">Out TPM P2</t>
  </si>
  <si>
    <t xml:space="preserve">Out TPM P3</t>
  </si>
  <si>
    <t xml:space="preserve">Norm TPM P1</t>
  </si>
  <si>
    <t xml:space="preserve">Norm TPM P2</t>
  </si>
  <si>
    <t xml:space="preserve">Norm TPM P3</t>
  </si>
  <si>
    <t xml:space="preserve">Cost P1 $</t>
  </si>
  <si>
    <t xml:space="preserve">Cost P2 $</t>
  </si>
  <si>
    <t xml:space="preserve">Cost P3 $</t>
  </si>
  <si>
    <t xml:space="preserve">In tok/mo</t>
  </si>
  <si>
    <t xml:space="preserve">Out tok/mo</t>
  </si>
  <si>
    <t xml:space="preserve">Peak RPM</t>
  </si>
  <si>
    <t xml:space="preserve">Peak total TPM</t>
  </si>
  <si>
    <t xml:space="preserve">Peak norm TPM</t>
  </si>
  <si>
    <t xml:space="preserve">Exact PTUs (solo)</t>
  </si>
  <si>
    <t xml:space="preserve">PTUs solo deploy</t>
  </si>
  <si>
    <t xml:space="preserve">PTU deployment groups &amp; PayGO vs PTU comparison (auto). Groups = model x PTU deployment; sizing assumes coincident peaks.</t>
  </si>
  <si>
    <t xml:space="preserve"># use cases</t>
  </si>
  <si>
    <t xml:space="preserve">Exact PTUs</t>
  </si>
  <si>
    <t xml:space="preserve">PTUs to deploy</t>
  </si>
  <si>
    <t xml:space="preserve">PTU hourly $/mo</t>
  </si>
  <si>
    <t xml:space="preserve">PTU monthly-resv $/mo</t>
  </si>
  <si>
    <t xml:space="preserve">PTU yearly-resv $/mo</t>
  </si>
  <si>
    <t xml:space="preserve">Cheaper (vs mo-resv)</t>
  </si>
  <si>
    <t xml:space="preserve">TOTALS</t>
  </si>
  <si>
    <t xml:space="preserve">100% PayGO $/mo</t>
  </si>
  <si>
    <t xml:space="preserve">100% PTU (monthly resv) $/mo</t>
  </si>
  <si>
    <t xml:space="preserve">Optimized mix $/mo</t>
  </si>
  <si>
    <t xml:space="preserve">PTU vs PayGO delta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</si>
</sst>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.000"/>
    <numFmt numFmtId="166" formatCode="\$#,##0.00"/>
    <numFmt numFmtId="167" formatCode="0.00"/>
    <numFmt numFmtId="168" formatCode="0.0000"/>
    <numFmt numFmtId="169" formatCode="0.0"/>
    <numFmt numFmtId="170" formatCode="0%"/>
    <numFmt numFmtId="171" formatCode="#,##0"/>
    <numFmt numFmtId="172" formatCode="0.0%"/>
    <numFmt numFmtId="173" formatCode="\$#,##0"/>
    <numFmt numFmtId="174" formatCode="\+0.0%;\-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6.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3" t="s">
        <v>3</v>
      </c>
      <c r="B5" s="2"/>
    </row>
    <row r="6" customFormat="false" ht="15" hidden="false" customHeight="false" outlineLevel="0" collapsed="false">
      <c r="A6" s="2" t="s">
        <v>4</v>
      </c>
      <c r="B6" s="2" t="s">
        <v>5</v>
      </c>
    </row>
    <row r="7" customFormat="false" ht="15" hidden="false" customHeight="false" outlineLevel="0" collapsed="false">
      <c r="A7" s="2" t="s">
        <v>6</v>
      </c>
      <c r="B7" s="2" t="s">
        <v>7</v>
      </c>
    </row>
    <row r="8" customFormat="false" ht="15" hidden="false" customHeight="false" outlineLevel="0" collapsed="false">
      <c r="A8" s="2" t="s">
        <v>8</v>
      </c>
      <c r="B8" s="2" t="s">
        <v>9</v>
      </c>
    </row>
    <row r="9" customFormat="false" ht="15" hidden="false" customHeight="false" outlineLevel="0" collapsed="false">
      <c r="A9" s="2" t="s">
        <v>10</v>
      </c>
      <c r="B9" s="2" t="s">
        <v>11</v>
      </c>
    </row>
    <row r="10" customFormat="false" ht="15" hidden="false" customHeight="false" outlineLevel="0" collapsed="false">
      <c r="A10" s="2"/>
      <c r="B10" s="2"/>
    </row>
    <row r="11" customFormat="false" ht="15" hidden="false" customHeight="false" outlineLevel="0" collapsed="false">
      <c r="A11" s="3" t="s">
        <v>12</v>
      </c>
      <c r="B11" s="2"/>
    </row>
    <row r="12" customFormat="false" ht="15" hidden="false" customHeight="false" outlineLevel="0" collapsed="false">
      <c r="A12" s="2" t="s">
        <v>13</v>
      </c>
      <c r="B12" s="2" t="s">
        <v>14</v>
      </c>
    </row>
    <row r="13" customFormat="false" ht="15" hidden="false" customHeight="false" outlineLevel="0" collapsed="false">
      <c r="A13" s="2" t="s">
        <v>15</v>
      </c>
      <c r="B13" s="2" t="s">
        <v>16</v>
      </c>
    </row>
    <row r="14" customFormat="false" ht="15" hidden="false" customHeight="false" outlineLevel="0" collapsed="false">
      <c r="A14" s="2" t="s">
        <v>17</v>
      </c>
      <c r="B14" s="2" t="s">
        <v>18</v>
      </c>
    </row>
    <row r="15" customFormat="false" ht="15" hidden="false" customHeight="false" outlineLevel="0" collapsed="false">
      <c r="A15" s="2" t="s">
        <v>19</v>
      </c>
      <c r="B15" s="2" t="s">
        <v>20</v>
      </c>
    </row>
    <row r="16" customFormat="false" ht="15" hidden="false" customHeight="false" outlineLevel="0" collapsed="false">
      <c r="A16" s="2" t="s">
        <v>21</v>
      </c>
      <c r="B16" s="2" t="s">
        <v>22</v>
      </c>
    </row>
    <row r="17" customFormat="false" ht="15" hidden="false" customHeight="false" outlineLevel="0" collapsed="false">
      <c r="A17" s="2"/>
      <c r="B17" s="2"/>
    </row>
    <row r="18" customFormat="false" ht="15" hidden="false" customHeight="false" outlineLevel="0" collapsed="false">
      <c r="A18" s="3" t="s">
        <v>23</v>
      </c>
      <c r="B18" s="2"/>
    </row>
    <row r="19" customFormat="false" ht="15" hidden="false" customHeight="false" outlineLevel="0" collapsed="false">
      <c r="A19" s="2" t="s">
        <v>24</v>
      </c>
      <c r="B19" s="2" t="s">
        <v>25</v>
      </c>
    </row>
    <row r="20" customFormat="false" ht="15" hidden="false" customHeight="false" outlineLevel="0" collapsed="false">
      <c r="A20" s="2" t="s">
        <v>26</v>
      </c>
      <c r="B20" s="2" t="s">
        <v>27</v>
      </c>
    </row>
    <row r="21" customFormat="false" ht="15" hidden="false" customHeight="false" outlineLevel="0" collapsed="false">
      <c r="A21" s="2" t="s">
        <v>28</v>
      </c>
      <c r="B21" s="2" t="s">
        <v>29</v>
      </c>
    </row>
    <row r="22" customFormat="false" ht="15" hidden="false" customHeight="false" outlineLevel="0" collapsed="false">
      <c r="A22" s="2" t="s">
        <v>30</v>
      </c>
      <c r="B22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22"/>
  </cols>
  <sheetData>
    <row r="1" customFormat="false" ht="16.15" hidden="false" customHeight="false" outlineLevel="0" collapsed="false">
      <c r="A1" s="1" t="s">
        <v>32</v>
      </c>
    </row>
    <row r="3" customFormat="false" ht="23.85" hidden="false" customHeight="false" outlineLevel="0" collapsed="false">
      <c r="A3" s="4" t="s">
        <v>33</v>
      </c>
      <c r="B3" s="4" t="s">
        <v>34</v>
      </c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40</v>
      </c>
      <c r="I3" s="4" t="s">
        <v>41</v>
      </c>
      <c r="J3" s="4" t="s">
        <v>42</v>
      </c>
      <c r="K3" s="4" t="s">
        <v>43</v>
      </c>
    </row>
    <row r="4" customFormat="false" ht="15" hidden="false" customHeight="false" outlineLevel="0" collapsed="false">
      <c r="A4" s="5" t="s">
        <v>44</v>
      </c>
      <c r="B4" s="5" t="n">
        <v>1200</v>
      </c>
      <c r="C4" s="5" t="n">
        <v>6</v>
      </c>
      <c r="D4" s="5" t="n">
        <v>15</v>
      </c>
      <c r="E4" s="5" t="n">
        <v>5</v>
      </c>
      <c r="F4" s="5" t="n">
        <v>50</v>
      </c>
      <c r="G4" s="5" t="n">
        <v>50</v>
      </c>
      <c r="H4" s="6" t="n">
        <v>5</v>
      </c>
      <c r="I4" s="6" t="n">
        <v>0.5</v>
      </c>
      <c r="J4" s="6" t="n">
        <v>30</v>
      </c>
      <c r="K4" s="5"/>
    </row>
    <row r="5" customFormat="false" ht="15" hidden="false" customHeight="false" outlineLevel="0" collapsed="false">
      <c r="A5" s="5" t="s">
        <v>45</v>
      </c>
      <c r="B5" s="5" t="n">
        <v>2400</v>
      </c>
      <c r="C5" s="5" t="n">
        <v>6</v>
      </c>
      <c r="D5" s="5" t="n">
        <v>15</v>
      </c>
      <c r="E5" s="5" t="n">
        <v>5</v>
      </c>
      <c r="F5" s="5" t="n">
        <v>50</v>
      </c>
      <c r="G5" s="5" t="n">
        <v>50</v>
      </c>
      <c r="H5" s="6" t="n">
        <v>2.5</v>
      </c>
      <c r="I5" s="6" t="n">
        <v>0.25</v>
      </c>
      <c r="J5" s="6" t="n">
        <v>15</v>
      </c>
      <c r="K5" s="5"/>
    </row>
    <row r="6" customFormat="false" ht="15" hidden="false" customHeight="false" outlineLevel="0" collapsed="false">
      <c r="A6" s="5" t="s">
        <v>46</v>
      </c>
      <c r="B6" s="5" t="n">
        <v>7900</v>
      </c>
      <c r="C6" s="5" t="n">
        <v>8</v>
      </c>
      <c r="D6" s="5" t="n">
        <v>15</v>
      </c>
      <c r="E6" s="5" t="n">
        <v>5</v>
      </c>
      <c r="F6" s="5" t="n">
        <v>25</v>
      </c>
      <c r="G6" s="5" t="n">
        <v>25</v>
      </c>
      <c r="H6" s="6" t="n">
        <v>0.45</v>
      </c>
      <c r="I6" s="6" t="n">
        <v>0.045</v>
      </c>
      <c r="J6" s="6" t="n">
        <v>3.6</v>
      </c>
      <c r="K6" s="7" t="s">
        <v>47</v>
      </c>
    </row>
    <row r="7" customFormat="false" ht="15" hidden="false" customHeight="false" outlineLevel="0" collapsed="false">
      <c r="A7" s="5" t="s">
        <v>48</v>
      </c>
      <c r="B7" s="5" t="n">
        <v>3400</v>
      </c>
      <c r="C7" s="5" t="n">
        <v>8</v>
      </c>
      <c r="D7" s="5" t="n">
        <v>15</v>
      </c>
      <c r="E7" s="5" t="n">
        <v>5</v>
      </c>
      <c r="F7" s="5" t="n">
        <v>50</v>
      </c>
      <c r="G7" s="5" t="n">
        <v>50</v>
      </c>
      <c r="H7" s="6" t="n">
        <v>1.75</v>
      </c>
      <c r="I7" s="6" t="n">
        <v>0.175</v>
      </c>
      <c r="J7" s="6" t="n">
        <v>14</v>
      </c>
      <c r="K7" s="5"/>
    </row>
    <row r="8" customFormat="false" ht="15" hidden="false" customHeight="false" outlineLevel="0" collapsed="false">
      <c r="A8" s="5" t="s">
        <v>49</v>
      </c>
      <c r="B8" s="5" t="n">
        <v>4750</v>
      </c>
      <c r="C8" s="5" t="n">
        <v>8</v>
      </c>
      <c r="D8" s="5" t="n">
        <v>15</v>
      </c>
      <c r="E8" s="5" t="n">
        <v>5</v>
      </c>
      <c r="F8" s="5" t="n">
        <v>50</v>
      </c>
      <c r="G8" s="5" t="n">
        <v>50</v>
      </c>
      <c r="H8" s="6" t="n">
        <v>1.25</v>
      </c>
      <c r="I8" s="6" t="n">
        <v>0.125</v>
      </c>
      <c r="J8" s="6" t="n">
        <v>10</v>
      </c>
      <c r="K8" s="7" t="s">
        <v>47</v>
      </c>
    </row>
    <row r="9" customFormat="false" ht="15" hidden="false" customHeight="false" outlineLevel="0" collapsed="false">
      <c r="A9" s="5" t="s">
        <v>50</v>
      </c>
      <c r="B9" s="5" t="n">
        <v>4750</v>
      </c>
      <c r="C9" s="5" t="n">
        <v>8</v>
      </c>
      <c r="D9" s="5" t="n">
        <v>15</v>
      </c>
      <c r="E9" s="5" t="n">
        <v>5</v>
      </c>
      <c r="F9" s="5" t="n">
        <v>50</v>
      </c>
      <c r="G9" s="5" t="n">
        <v>50</v>
      </c>
      <c r="H9" s="6" t="n">
        <v>1.25</v>
      </c>
      <c r="I9" s="6" t="n">
        <v>0.125</v>
      </c>
      <c r="J9" s="6" t="n">
        <v>10</v>
      </c>
      <c r="K9" s="5"/>
    </row>
    <row r="10" customFormat="false" ht="15" hidden="false" customHeight="false" outlineLevel="0" collapsed="false">
      <c r="A10" s="5" t="s">
        <v>51</v>
      </c>
      <c r="B10" s="5" t="n">
        <v>23750</v>
      </c>
      <c r="C10" s="5" t="n">
        <v>8</v>
      </c>
      <c r="D10" s="5" t="n">
        <v>15</v>
      </c>
      <c r="E10" s="5" t="n">
        <v>5</v>
      </c>
      <c r="F10" s="5" t="n">
        <v>25</v>
      </c>
      <c r="G10" s="5" t="n">
        <v>25</v>
      </c>
      <c r="H10" s="6" t="n">
        <v>0.25</v>
      </c>
      <c r="I10" s="6" t="n">
        <v>0.025</v>
      </c>
      <c r="J10" s="6" t="n">
        <v>2</v>
      </c>
      <c r="K10" s="5"/>
    </row>
    <row r="11" customFormat="false" ht="15" hidden="false" customHeight="false" outlineLevel="0" collapsed="false">
      <c r="A11" s="5" t="s">
        <v>52</v>
      </c>
      <c r="B11" s="5" t="n">
        <v>3000</v>
      </c>
      <c r="C11" s="5" t="n">
        <v>4</v>
      </c>
      <c r="D11" s="5" t="n">
        <v>15</v>
      </c>
      <c r="E11" s="5" t="n">
        <v>5</v>
      </c>
      <c r="F11" s="5" t="n">
        <v>50</v>
      </c>
      <c r="G11" s="5" t="n">
        <v>50</v>
      </c>
      <c r="H11" s="6" t="n">
        <v>2</v>
      </c>
      <c r="I11" s="6" t="n">
        <v>0.5</v>
      </c>
      <c r="J11" s="6" t="n">
        <v>8</v>
      </c>
      <c r="K11" s="5"/>
    </row>
    <row r="12" customFormat="false" ht="15" hidden="false" customHeight="false" outlineLevel="0" collapsed="false">
      <c r="A12" s="5" t="s">
        <v>53</v>
      </c>
      <c r="B12" s="5" t="n">
        <v>14900</v>
      </c>
      <c r="C12" s="5" t="n">
        <v>4</v>
      </c>
      <c r="D12" s="5" t="n">
        <v>15</v>
      </c>
      <c r="E12" s="5" t="n">
        <v>5</v>
      </c>
      <c r="F12" s="5" t="n">
        <v>25</v>
      </c>
      <c r="G12" s="5" t="n">
        <v>25</v>
      </c>
      <c r="H12" s="6" t="n">
        <v>0.4</v>
      </c>
      <c r="I12" s="6" t="n">
        <v>0.1</v>
      </c>
      <c r="J12" s="6" t="n">
        <v>1.6</v>
      </c>
      <c r="K12" s="5"/>
    </row>
    <row r="13" customFormat="false" ht="15" hidden="false" customHeight="false" outlineLevel="0" collapsed="false">
      <c r="A13" s="5" t="s">
        <v>54</v>
      </c>
      <c r="B13" s="5" t="n">
        <v>59400</v>
      </c>
      <c r="C13" s="5" t="n">
        <v>4</v>
      </c>
      <c r="D13" s="5" t="n">
        <v>15</v>
      </c>
      <c r="E13" s="5" t="n">
        <v>5</v>
      </c>
      <c r="F13" s="5" t="n">
        <v>25</v>
      </c>
      <c r="G13" s="5" t="n">
        <v>25</v>
      </c>
      <c r="H13" s="6" t="n">
        <v>0.1</v>
      </c>
      <c r="I13" s="6" t="n">
        <v>0.025</v>
      </c>
      <c r="J13" s="6" t="n">
        <v>0.4</v>
      </c>
      <c r="K13" s="5"/>
    </row>
    <row r="14" customFormat="false" ht="15" hidden="false" customHeight="false" outlineLevel="0" collapsed="false">
      <c r="A14" s="5" t="s">
        <v>55</v>
      </c>
      <c r="B14" s="5" t="n">
        <v>2500</v>
      </c>
      <c r="C14" s="5" t="n">
        <v>4</v>
      </c>
      <c r="D14" s="5" t="n">
        <v>15</v>
      </c>
      <c r="E14" s="5" t="n">
        <v>5</v>
      </c>
      <c r="F14" s="5" t="n">
        <v>50</v>
      </c>
      <c r="G14" s="5" t="n">
        <v>50</v>
      </c>
      <c r="H14" s="6" t="n">
        <v>2.5</v>
      </c>
      <c r="I14" s="6" t="n">
        <v>1.25</v>
      </c>
      <c r="J14" s="6" t="n">
        <v>10</v>
      </c>
      <c r="K14" s="5"/>
    </row>
    <row r="15" customFormat="false" ht="15" hidden="false" customHeight="false" outlineLevel="0" collapsed="false">
      <c r="A15" s="5" t="s">
        <v>56</v>
      </c>
      <c r="B15" s="5" t="n">
        <v>37000</v>
      </c>
      <c r="C15" s="5" t="n">
        <v>4</v>
      </c>
      <c r="D15" s="5" t="n">
        <v>15</v>
      </c>
      <c r="E15" s="5" t="n">
        <v>5</v>
      </c>
      <c r="F15" s="5" t="n">
        <v>25</v>
      </c>
      <c r="G15" s="5" t="n">
        <v>25</v>
      </c>
      <c r="H15" s="6" t="n">
        <v>0.15</v>
      </c>
      <c r="I15" s="6" t="n">
        <v>0.075</v>
      </c>
      <c r="J15" s="6" t="n">
        <v>0.6</v>
      </c>
      <c r="K15" s="5"/>
    </row>
    <row r="16" customFormat="false" ht="15" hidden="false" customHeight="false" outlineLevel="0" collapsed="false">
      <c r="A16" s="5" t="s">
        <v>57</v>
      </c>
      <c r="B16" s="5" t="n">
        <v>3000</v>
      </c>
      <c r="C16" s="5" t="n">
        <v>4</v>
      </c>
      <c r="D16" s="5" t="n">
        <v>15</v>
      </c>
      <c r="E16" s="5" t="n">
        <v>5</v>
      </c>
      <c r="F16" s="5" t="n">
        <v>50</v>
      </c>
      <c r="G16" s="5" t="n">
        <v>50</v>
      </c>
      <c r="H16" s="6" t="n">
        <v>2</v>
      </c>
      <c r="I16" s="6" t="n">
        <v>0.5</v>
      </c>
      <c r="J16" s="6" t="n">
        <v>8</v>
      </c>
      <c r="K16" s="5"/>
    </row>
    <row r="17" customFormat="false" ht="15" hidden="false" customHeight="false" outlineLevel="0" collapsed="false">
      <c r="A17" s="5" t="s">
        <v>58</v>
      </c>
      <c r="B17" s="5" t="n">
        <v>5400</v>
      </c>
      <c r="C17" s="5" t="n">
        <v>4</v>
      </c>
      <c r="D17" s="5" t="n">
        <v>15</v>
      </c>
      <c r="E17" s="5" t="n">
        <v>5</v>
      </c>
      <c r="F17" s="5" t="n">
        <v>25</v>
      </c>
      <c r="G17" s="5" t="n">
        <v>25</v>
      </c>
      <c r="H17" s="6" t="n">
        <v>1.1</v>
      </c>
      <c r="I17" s="6" t="n">
        <v>0.275</v>
      </c>
      <c r="J17" s="6" t="n">
        <v>4.4</v>
      </c>
      <c r="K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5"/>
      <c r="H18" s="6"/>
      <c r="I18" s="6"/>
      <c r="J18" s="6"/>
      <c r="K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5"/>
      <c r="H19" s="6"/>
      <c r="I19" s="6"/>
      <c r="J19" s="6"/>
      <c r="K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5"/>
      <c r="H20" s="6"/>
      <c r="I20" s="6"/>
      <c r="J20" s="6"/>
      <c r="K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5"/>
      <c r="H21" s="6"/>
      <c r="I21" s="6"/>
      <c r="J21" s="6"/>
      <c r="K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5"/>
      <c r="H22" s="6"/>
      <c r="I22" s="6"/>
      <c r="J22" s="6"/>
      <c r="K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5"/>
      <c r="H23" s="6"/>
      <c r="I23" s="6"/>
      <c r="J23" s="6"/>
      <c r="K23" s="5"/>
    </row>
    <row r="26" customFormat="false" ht="15" hidden="false" customHeight="false" outlineLevel="0" collapsed="false">
      <c r="A26" s="3" t="s">
        <v>59</v>
      </c>
    </row>
    <row r="27" customFormat="false" ht="15" hidden="false" customHeight="false" outlineLevel="0" collapsed="false">
      <c r="A27" s="8" t="s">
        <v>60</v>
      </c>
      <c r="B27" s="8" t="s">
        <v>61</v>
      </c>
      <c r="C27" s="8" t="s">
        <v>62</v>
      </c>
      <c r="D27" s="8" t="s">
        <v>63</v>
      </c>
    </row>
    <row r="28" customFormat="false" ht="15" hidden="false" customHeight="false" outlineLevel="0" collapsed="false">
      <c r="A28" s="9" t="s">
        <v>64</v>
      </c>
      <c r="B28" s="10" t="n">
        <v>1</v>
      </c>
      <c r="C28" s="10" t="n">
        <v>260</v>
      </c>
      <c r="D28" s="10" t="n">
        <v>2652</v>
      </c>
    </row>
    <row r="29" customFormat="false" ht="15" hidden="false" customHeight="false" outlineLevel="0" collapsed="false">
      <c r="A29" s="9" t="s">
        <v>65</v>
      </c>
      <c r="B29" s="10" t="n">
        <v>1.1</v>
      </c>
      <c r="C29" s="10" t="n">
        <v>286</v>
      </c>
      <c r="D29" s="10" t="n">
        <v>2916.6</v>
      </c>
    </row>
    <row r="30" customFormat="false" ht="15" hidden="false" customHeight="false" outlineLevel="0" collapsed="false">
      <c r="A30" s="9" t="s">
        <v>66</v>
      </c>
      <c r="B30" s="10" t="n">
        <v>2</v>
      </c>
      <c r="C30" s="10" t="n">
        <v>520</v>
      </c>
      <c r="D30" s="10" t="n">
        <v>5304</v>
      </c>
    </row>
    <row r="33" customFormat="false" ht="15" hidden="false" customHeight="false" outlineLevel="0" collapsed="false">
      <c r="A33" s="3" t="s">
        <v>67</v>
      </c>
    </row>
    <row r="34" customFormat="false" ht="15" hidden="false" customHeight="false" outlineLevel="0" collapsed="false">
      <c r="A34" s="8" t="s">
        <v>60</v>
      </c>
      <c r="B34" s="8" t="s">
        <v>68</v>
      </c>
    </row>
    <row r="35" customFormat="false" ht="15" hidden="false" customHeight="false" outlineLevel="0" collapsed="false">
      <c r="A35" s="9" t="s">
        <v>64</v>
      </c>
      <c r="B35" s="11" t="n">
        <v>1</v>
      </c>
    </row>
    <row r="36" customFormat="false" ht="15" hidden="false" customHeight="false" outlineLevel="0" collapsed="false">
      <c r="A36" s="9" t="s">
        <v>65</v>
      </c>
      <c r="B36" s="11" t="n">
        <v>1.1</v>
      </c>
    </row>
    <row r="37" customFormat="false" ht="15" hidden="false" customHeight="false" outlineLevel="0" collapsed="false">
      <c r="A37" s="9" t="s">
        <v>66</v>
      </c>
      <c r="B37" s="11" t="n">
        <v>1.2</v>
      </c>
    </row>
    <row r="39" customFormat="false" ht="15" hidden="false" customHeight="false" outlineLevel="0" collapsed="false">
      <c r="A39" s="2" t="s">
        <v>69</v>
      </c>
      <c r="B39" s="12" t="n">
        <f aca="false">365.25/7/12</f>
        <v>4.34821428571429</v>
      </c>
    </row>
    <row r="40" customFormat="false" ht="15" hidden="false" customHeight="false" outlineLevel="0" collapsed="false">
      <c r="A40" s="2" t="s">
        <v>70</v>
      </c>
      <c r="B40" s="13" t="n">
        <f aca="false">8766/12</f>
        <v>730.5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3"/>
    <col collapsed="false" customWidth="true" hidden="false" outlineLevel="0" max="5" min="5" style="0" width="14"/>
  </cols>
  <sheetData>
    <row r="1" customFormat="false" ht="16.15" hidden="false" customHeight="false" outlineLevel="0" collapsed="false">
      <c r="A1" s="1" t="s">
        <v>71</v>
      </c>
    </row>
    <row r="3" customFormat="false" ht="15" hidden="false" customHeight="false" outlineLevel="0" collapsed="false">
      <c r="A3" s="8" t="s">
        <v>72</v>
      </c>
      <c r="B3" s="8" t="s">
        <v>73</v>
      </c>
      <c r="C3" s="8" t="s">
        <v>74</v>
      </c>
      <c r="D3" s="8" t="s">
        <v>75</v>
      </c>
      <c r="E3" s="8" t="s">
        <v>70</v>
      </c>
    </row>
    <row r="4" customFormat="false" ht="15" hidden="false" customHeight="false" outlineLevel="0" collapsed="false">
      <c r="A4" s="5" t="s">
        <v>76</v>
      </c>
      <c r="B4" s="5" t="n">
        <v>10</v>
      </c>
      <c r="C4" s="5" t="n">
        <v>5</v>
      </c>
      <c r="D4" s="9" t="n">
        <f aca="false">B4*C4</f>
        <v>50</v>
      </c>
      <c r="E4" s="14" t="n">
        <f aca="false">D4*Catalog!$B$39</f>
        <v>217.410714285714</v>
      </c>
    </row>
    <row r="5" customFormat="false" ht="15" hidden="false" customHeight="false" outlineLevel="0" collapsed="false">
      <c r="A5" s="5" t="s">
        <v>77</v>
      </c>
      <c r="B5" s="5" t="n">
        <v>14</v>
      </c>
      <c r="C5" s="5" t="n">
        <v>5</v>
      </c>
      <c r="D5" s="9" t="n">
        <f aca="false">B5*C5</f>
        <v>70</v>
      </c>
      <c r="E5" s="14" t="n">
        <f aca="false">D5*Catalog!$B$39</f>
        <v>304.375</v>
      </c>
    </row>
    <row r="6" customFormat="false" ht="15" hidden="false" customHeight="false" outlineLevel="0" collapsed="false">
      <c r="A6" s="5" t="s">
        <v>78</v>
      </c>
      <c r="B6" s="5" t="n">
        <v>24</v>
      </c>
      <c r="C6" s="5" t="n">
        <v>2</v>
      </c>
      <c r="D6" s="9" t="n">
        <f aca="false">B6*C6</f>
        <v>48</v>
      </c>
      <c r="E6" s="14" t="n">
        <f aca="false">D6*Catalog!$B$39</f>
        <v>208.714285714286</v>
      </c>
    </row>
    <row r="7" customFormat="false" ht="15" hidden="false" customHeight="false" outlineLevel="0" collapsed="false">
      <c r="D7" s="3" t="s">
        <v>79</v>
      </c>
      <c r="E7" s="13" t="n">
        <f aca="false">SUM(E4:E6)</f>
        <v>730.5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6" min="5" style="0" width="13"/>
    <col collapsed="false" customWidth="true" hidden="false" outlineLevel="0" max="7" min="7" style="0" width="11"/>
    <col collapsed="false" customWidth="true" hidden="false" outlineLevel="0" max="10" min="8" style="0" width="14"/>
  </cols>
  <sheetData>
    <row r="1" customFormat="false" ht="16.15" hidden="false" customHeight="false" outlineLevel="0" collapsed="false">
      <c r="A1" s="1" t="s">
        <v>80</v>
      </c>
    </row>
    <row r="3" customFormat="false" ht="35.05" hidden="false" customHeight="false" outlineLevel="0" collapsed="false">
      <c r="A3" s="15" t="s">
        <v>81</v>
      </c>
      <c r="B3" s="15" t="s">
        <v>33</v>
      </c>
      <c r="C3" s="15" t="s">
        <v>82</v>
      </c>
      <c r="D3" s="15" t="s">
        <v>83</v>
      </c>
      <c r="E3" s="15" t="s">
        <v>84</v>
      </c>
      <c r="F3" s="15" t="s">
        <v>85</v>
      </c>
      <c r="G3" s="15" t="s">
        <v>86</v>
      </c>
      <c r="H3" s="15" t="str">
        <f aca="false">LoadPeriods!A4&amp;" RPM"</f>
        <v>Weekday - Business Hours RPM</v>
      </c>
      <c r="I3" s="15" t="str">
        <f aca="false">LoadPeriods!A5&amp;" RPM"</f>
        <v>Weekday - Off-Peak RPM</v>
      </c>
      <c r="J3" s="15" t="str">
        <f aca="false">LoadPeriods!A6&amp;" RPM"</f>
        <v>Weekend - Whole Day RPM</v>
      </c>
    </row>
    <row r="4" customFormat="false" ht="15" hidden="false" customHeight="false" outlineLevel="0" collapsed="false">
      <c r="A4" s="5" t="s">
        <v>87</v>
      </c>
      <c r="B4" s="5" t="s">
        <v>50</v>
      </c>
      <c r="C4" s="5" t="s">
        <v>64</v>
      </c>
      <c r="D4" s="5" t="s">
        <v>64</v>
      </c>
      <c r="E4" s="5" t="n">
        <v>3500</v>
      </c>
      <c r="F4" s="5" t="n">
        <v>300</v>
      </c>
      <c r="G4" s="16" t="n">
        <v>0.3</v>
      </c>
      <c r="H4" s="5" t="n">
        <v>75</v>
      </c>
      <c r="I4" s="5" t="n">
        <v>10</v>
      </c>
      <c r="J4" s="5" t="n">
        <v>10</v>
      </c>
    </row>
    <row r="5" customFormat="false" ht="15" hidden="false" customHeight="false" outlineLevel="0" collapsed="false">
      <c r="A5" s="5" t="s">
        <v>88</v>
      </c>
      <c r="B5" s="5" t="s">
        <v>50</v>
      </c>
      <c r="C5" s="5" t="s">
        <v>64</v>
      </c>
      <c r="D5" s="5" t="s">
        <v>64</v>
      </c>
      <c r="E5" s="5" t="n">
        <v>5000</v>
      </c>
      <c r="F5" s="5" t="n">
        <v>300</v>
      </c>
      <c r="G5" s="16" t="n">
        <v>0.1</v>
      </c>
      <c r="H5" s="5" t="n">
        <v>75</v>
      </c>
      <c r="I5" s="5" t="n">
        <v>10</v>
      </c>
      <c r="J5" s="5" t="n">
        <v>10</v>
      </c>
    </row>
    <row r="6" customFormat="false" ht="15" hidden="false" customHeight="false" outlineLevel="0" collapsed="false">
      <c r="A6" s="5" t="s">
        <v>89</v>
      </c>
      <c r="B6" s="5" t="s">
        <v>51</v>
      </c>
      <c r="C6" s="5" t="s">
        <v>64</v>
      </c>
      <c r="D6" s="5" t="s">
        <v>64</v>
      </c>
      <c r="E6" s="5" t="n">
        <v>3800</v>
      </c>
      <c r="F6" s="5" t="n">
        <v>10</v>
      </c>
      <c r="G6" s="16" t="n">
        <v>0.5</v>
      </c>
      <c r="H6" s="5" t="n">
        <v>75</v>
      </c>
      <c r="I6" s="5" t="n">
        <v>10</v>
      </c>
      <c r="J6" s="5" t="n">
        <v>10</v>
      </c>
    </row>
    <row r="7" customFormat="false" ht="15" hidden="false" customHeight="false" outlineLevel="0" collapsed="false">
      <c r="A7" s="5"/>
      <c r="B7" s="5"/>
      <c r="C7" s="5"/>
      <c r="D7" s="5"/>
      <c r="E7" s="5"/>
      <c r="F7" s="5"/>
      <c r="G7" s="16"/>
      <c r="H7" s="5"/>
      <c r="I7" s="5"/>
      <c r="J7" s="5"/>
    </row>
    <row r="8" customFormat="false" ht="15" hidden="false" customHeight="false" outlineLevel="0" collapsed="false">
      <c r="A8" s="5"/>
      <c r="B8" s="5"/>
      <c r="C8" s="5"/>
      <c r="D8" s="5"/>
      <c r="E8" s="5"/>
      <c r="F8" s="5"/>
      <c r="G8" s="16"/>
      <c r="H8" s="5"/>
      <c r="I8" s="5"/>
      <c r="J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  <c r="G9" s="16"/>
      <c r="H9" s="5"/>
      <c r="I9" s="5"/>
      <c r="J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  <c r="G10" s="16"/>
      <c r="H10" s="5"/>
      <c r="I10" s="5"/>
      <c r="J10" s="5"/>
    </row>
    <row r="11" customFormat="false" ht="15" hidden="false" customHeight="false" outlineLevel="0" collapsed="false">
      <c r="A11" s="5"/>
      <c r="B11" s="5"/>
      <c r="C11" s="5"/>
      <c r="D11" s="5"/>
      <c r="E11" s="5"/>
      <c r="F11" s="5"/>
      <c r="G11" s="16"/>
      <c r="H11" s="5"/>
      <c r="I11" s="5"/>
      <c r="J11" s="5"/>
    </row>
    <row r="12" customFormat="false" ht="15" hidden="false" customHeight="false" outlineLevel="0" collapsed="false">
      <c r="A12" s="5"/>
      <c r="B12" s="5"/>
      <c r="C12" s="5"/>
      <c r="D12" s="5"/>
      <c r="E12" s="5"/>
      <c r="F12" s="5"/>
      <c r="G12" s="16"/>
      <c r="H12" s="5"/>
      <c r="I12" s="5"/>
      <c r="J12" s="5"/>
    </row>
    <row r="13" customFormat="false" ht="15" hidden="false" customHeight="false" outlineLevel="0" collapsed="false">
      <c r="A13" s="5"/>
      <c r="B13" s="5"/>
      <c r="C13" s="5"/>
      <c r="D13" s="5"/>
      <c r="E13" s="5"/>
      <c r="F13" s="5"/>
      <c r="G13" s="16"/>
      <c r="H13" s="5"/>
      <c r="I13" s="5"/>
      <c r="J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  <c r="G14" s="16"/>
      <c r="H14" s="5"/>
      <c r="I14" s="5"/>
      <c r="J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  <c r="G15" s="16"/>
      <c r="H15" s="5"/>
      <c r="I15" s="5"/>
      <c r="J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  <c r="G16" s="16"/>
      <c r="H16" s="5"/>
      <c r="I16" s="5"/>
      <c r="J16" s="5"/>
    </row>
    <row r="17" customFormat="false" ht="15" hidden="false" customHeight="false" outlineLevel="0" collapsed="false">
      <c r="A17" s="5"/>
      <c r="B17" s="5"/>
      <c r="C17" s="5"/>
      <c r="D17" s="5"/>
      <c r="E17" s="5"/>
      <c r="F17" s="5"/>
      <c r="G17" s="16"/>
      <c r="H17" s="5"/>
      <c r="I17" s="5"/>
      <c r="J17" s="5"/>
    </row>
    <row r="18" customFormat="false" ht="15" hidden="false" customHeight="false" outlineLevel="0" collapsed="false">
      <c r="A18" s="5"/>
      <c r="B18" s="5"/>
      <c r="C18" s="5"/>
      <c r="D18" s="5"/>
      <c r="E18" s="5"/>
      <c r="F18" s="5"/>
      <c r="G18" s="16"/>
      <c r="H18" s="5"/>
      <c r="I18" s="5"/>
      <c r="J18" s="5"/>
    </row>
    <row r="19" customFormat="false" ht="15" hidden="false" customHeight="false" outlineLevel="0" collapsed="false">
      <c r="A19" s="5"/>
      <c r="B19" s="5"/>
      <c r="C19" s="5"/>
      <c r="D19" s="5"/>
      <c r="E19" s="5"/>
      <c r="F19" s="5"/>
      <c r="G19" s="16"/>
      <c r="H19" s="5"/>
      <c r="I19" s="5"/>
      <c r="J19" s="5"/>
    </row>
    <row r="20" customFormat="false" ht="15" hidden="false" customHeight="false" outlineLevel="0" collapsed="false">
      <c r="A20" s="5"/>
      <c r="B20" s="5"/>
      <c r="C20" s="5"/>
      <c r="D20" s="5"/>
      <c r="E20" s="5"/>
      <c r="F20" s="5"/>
      <c r="G20" s="16"/>
      <c r="H20" s="5"/>
      <c r="I20" s="5"/>
      <c r="J20" s="5"/>
    </row>
    <row r="21" customFormat="false" ht="15" hidden="false" customHeight="false" outlineLevel="0" collapsed="false">
      <c r="A21" s="5"/>
      <c r="B21" s="5"/>
      <c r="C21" s="5"/>
      <c r="D21" s="5"/>
      <c r="E21" s="5"/>
      <c r="F21" s="5"/>
      <c r="G21" s="16"/>
      <c r="H21" s="5"/>
      <c r="I21" s="5"/>
      <c r="J21" s="5"/>
    </row>
    <row r="22" customFormat="false" ht="15" hidden="false" customHeight="false" outlineLevel="0" collapsed="false">
      <c r="A22" s="5"/>
      <c r="B22" s="5"/>
      <c r="C22" s="5"/>
      <c r="D22" s="5"/>
      <c r="E22" s="5"/>
      <c r="F22" s="5"/>
      <c r="G22" s="16"/>
      <c r="H22" s="5"/>
      <c r="I22" s="5"/>
      <c r="J22" s="5"/>
    </row>
    <row r="23" customFormat="false" ht="15" hidden="false" customHeight="false" outlineLevel="0" collapsed="false">
      <c r="A23" s="5"/>
      <c r="B23" s="5"/>
      <c r="C23" s="5"/>
      <c r="D23" s="5"/>
      <c r="E23" s="5"/>
      <c r="F23" s="5"/>
      <c r="G23" s="16"/>
      <c r="H23" s="5"/>
      <c r="I23" s="5"/>
      <c r="J23" s="5"/>
    </row>
  </sheetData>
  <dataValidations count="2">
    <dataValidation allowBlank="true" errorStyle="stop" operator="between" showDropDown="false" showErrorMessage="false" showInputMessage="false" sqref="B4:B23" type="list">
      <formula1>Catalog!$A$4:$A$23</formula1>
      <formula2>0</formula2>
    </dataValidation>
    <dataValidation allowBlank="true" errorStyle="stop" operator="between" showDropDown="false" showErrorMessage="false" showInputMessage="false" sqref="C4:D23" type="list">
      <formula1>"Global,Data Zone,Regional"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5" min="2" style="0" width="12"/>
  </cols>
  <sheetData>
    <row r="1" customFormat="false" ht="16.15" hidden="false" customHeight="false" outlineLevel="0" collapsed="false">
      <c r="A1" s="1" t="s">
        <v>90</v>
      </c>
    </row>
    <row r="3" customFormat="false" ht="23.85" hidden="false" customHeight="false" outlineLevel="0" collapsed="false">
      <c r="A3" s="4" t="s">
        <v>81</v>
      </c>
      <c r="B3" s="4" t="s">
        <v>33</v>
      </c>
      <c r="C3" s="4" t="s">
        <v>91</v>
      </c>
      <c r="D3" s="4" t="s">
        <v>92</v>
      </c>
      <c r="E3" s="4" t="s">
        <v>93</v>
      </c>
      <c r="F3" s="4" t="s">
        <v>94</v>
      </c>
      <c r="G3" s="4" t="s">
        <v>95</v>
      </c>
      <c r="H3" s="4" t="s">
        <v>96</v>
      </c>
      <c r="I3" s="4" t="s">
        <v>97</v>
      </c>
      <c r="J3" s="4" t="s">
        <v>98</v>
      </c>
      <c r="K3" s="4" t="s">
        <v>99</v>
      </c>
      <c r="L3" s="4" t="s">
        <v>100</v>
      </c>
      <c r="M3" s="4" t="s">
        <v>101</v>
      </c>
      <c r="N3" s="4" t="s">
        <v>102</v>
      </c>
      <c r="O3" s="4" t="s">
        <v>103</v>
      </c>
      <c r="P3" s="4" t="s">
        <v>104</v>
      </c>
      <c r="Q3" s="4" t="s">
        <v>105</v>
      </c>
      <c r="R3" s="4" t="s">
        <v>106</v>
      </c>
      <c r="S3" s="4" t="s">
        <v>107</v>
      </c>
      <c r="T3" s="4" t="s">
        <v>108</v>
      </c>
      <c r="U3" s="4" t="s">
        <v>109</v>
      </c>
      <c r="V3" s="4" t="s">
        <v>110</v>
      </c>
      <c r="W3" s="4" t="s">
        <v>111</v>
      </c>
      <c r="X3" s="4" t="s">
        <v>112</v>
      </c>
      <c r="Y3" s="4" t="s">
        <v>113</v>
      </c>
      <c r="Z3" s="4" t="s">
        <v>114</v>
      </c>
      <c r="AA3" s="4" t="s">
        <v>115</v>
      </c>
      <c r="AB3" s="4" t="s">
        <v>13</v>
      </c>
      <c r="AC3" s="4" t="s">
        <v>116</v>
      </c>
      <c r="AD3" s="4" t="s">
        <v>117</v>
      </c>
      <c r="AE3" s="4" t="s">
        <v>118</v>
      </c>
      <c r="AF3" s="4" t="s">
        <v>119</v>
      </c>
      <c r="AG3" s="4" t="s">
        <v>120</v>
      </c>
      <c r="AH3" s="4" t="s">
        <v>121</v>
      </c>
      <c r="AI3" s="4" t="s">
        <v>122</v>
      </c>
    </row>
    <row r="4" customFormat="false" ht="15" hidden="false" customHeight="false" outlineLevel="0" collapsed="false">
      <c r="A4" s="9" t="str">
        <f aca="false">IF(UseCases!A4="","",UseCases!A4)</f>
        <v>RAG Chat</v>
      </c>
      <c r="B4" s="9" t="str">
        <f aca="false">IF($A4="","",UseCases!B4)</f>
        <v>gpt-5</v>
      </c>
      <c r="C4" s="9" t="str">
        <f aca="false">IF($A4="","",UseCases!C4)</f>
        <v>Global</v>
      </c>
      <c r="D4" s="9" t="str">
        <f aca="false">IF($A4="","",UseCases!D4)</f>
        <v>Global</v>
      </c>
      <c r="E4" s="9" t="n">
        <f aca="false">IF($A4="","",UseCases!E4)</f>
        <v>3500</v>
      </c>
      <c r="F4" s="9" t="n">
        <f aca="false">IF($A4="","",UseCases!F4)</f>
        <v>300</v>
      </c>
      <c r="G4" s="17" t="n">
        <f aca="false">IF($A4="","",UseCases!G4)</f>
        <v>0.3</v>
      </c>
      <c r="H4" s="9" t="n">
        <f aca="false">IF($A4="","",N(UseCases!H4))</f>
        <v>75</v>
      </c>
      <c r="I4" s="9" t="n">
        <f aca="false">IF($A4="","",N(UseCases!I4))</f>
        <v>10</v>
      </c>
      <c r="J4" s="9" t="n">
        <f aca="false">IF($A4="","",N(UseCases!J4))</f>
        <v>10</v>
      </c>
      <c r="K4" s="9" t="n">
        <f aca="false">IF($A4="","",INDEX(Catalog!$B$4:$B$23,MATCH($B4,Catalog!$A$4:$A$23,0)))</f>
        <v>4750</v>
      </c>
      <c r="L4" s="9" t="n">
        <f aca="false">IF($A4="","",INDEX(Catalog!$C$4:$C$23,MATCH($B4,Catalog!$A$4:$A$23,0)))</f>
        <v>8</v>
      </c>
      <c r="M4" s="18" t="n">
        <f aca="false">IF($A4="","",INDEX(Catalog!$H$4:$H$23,MATCH($B4,Catalog!$A$4:$A$23,0))*INDEX(Catalog!$B$35:$B$37,MATCH($C4,Catalog!$A$35:$A$37,0)))</f>
        <v>1.25</v>
      </c>
      <c r="N4" s="18" t="n">
        <f aca="false">IF($A4="","",INDEX(Catalog!$I$4:$I$23,MATCH($B4,Catalog!$A$4:$A$23,0))*INDEX(Catalog!$B$35:$B$37,MATCH($C4,Catalog!$A$35:$A$37,0)))</f>
        <v>0.125</v>
      </c>
      <c r="O4" s="18" t="n">
        <f aca="false">IF($A4="","",INDEX(Catalog!$J$4:$J$23,MATCH($B4,Catalog!$A$4:$A$23,0))*INDEX(Catalog!$B$35:$B$37,MATCH($C4,Catalog!$A$35:$A$37,0)))</f>
        <v>10</v>
      </c>
      <c r="P4" s="19" t="n">
        <f aca="false">IF($A4="","",H4*$E4)</f>
        <v>262500</v>
      </c>
      <c r="Q4" s="19" t="n">
        <f aca="false">IF($A4="","",I4*$E4)</f>
        <v>35000</v>
      </c>
      <c r="R4" s="19" t="n">
        <f aca="false">IF($A4="","",J4*$E4)</f>
        <v>35000</v>
      </c>
      <c r="S4" s="19" t="n">
        <f aca="false">IF($A4="","",H4*$F4)</f>
        <v>22500</v>
      </c>
      <c r="T4" s="19" t="n">
        <f aca="false">IF($A4="","",I4*$F4)</f>
        <v>3000</v>
      </c>
      <c r="U4" s="19" t="n">
        <f aca="false">IF($A4="","",J4*$F4)</f>
        <v>3000</v>
      </c>
      <c r="V4" s="19" t="n">
        <f aca="false">IF($A4="","",P4*(1-$G4)+S4*$L4)</f>
        <v>363750</v>
      </c>
      <c r="W4" s="19" t="n">
        <f aca="false">IF($A4="","",Q4*(1-$G4)+T4*$L4)</f>
        <v>48500</v>
      </c>
      <c r="X4" s="19" t="n">
        <f aca="false">IF($A4="","",R4*(1-$G4)+U4*$L4)</f>
        <v>48500</v>
      </c>
      <c r="Y4" s="18" t="n">
        <f aca="false">IF($A4="","",(P4*60*LoadPeriods!$E$4*((1-$G4)*$M4+$G4*$N4)+S4*60*LoadPeriods!$E$4*$O4)/1000000)</f>
        <v>6059.64425223214</v>
      </c>
      <c r="Z4" s="18" t="n">
        <f aca="false">IF($A4="","",(Q4*60*LoadPeriods!$E$5*((1-$G4)*$M4+$G4*$N4)+T4*60*LoadPeriods!$E$5*$O4)/1000000)</f>
        <v>1131.13359375</v>
      </c>
      <c r="AA4" s="18" t="n">
        <f aca="false">IF($A4="","",(R4*60*LoadPeriods!$E$6*((1-$G4)*$M4+$G4*$N4)+U4*60*LoadPeriods!$E$6*$O4)/1000000)</f>
        <v>775.634464285714</v>
      </c>
      <c r="AB4" s="18" t="n">
        <f aca="false">IF($A4="","",SUM(Y4:AA4))</f>
        <v>7966.41231026786</v>
      </c>
      <c r="AC4" s="19" t="n">
        <f aca="false">IF($A4="","",SUMPRODUCT(P4:R4,60*TRANSPOSE(LoadPeriods!$E$4:$E$6)))</f>
        <v>4501706250</v>
      </c>
      <c r="AD4" s="19" t="n">
        <f aca="false">IF($A4="","",SUMPRODUCT(S4:U4,60*TRANSPOSE(LoadPeriods!$E$4:$E$6)))</f>
        <v>385860535.714286</v>
      </c>
      <c r="AE4" s="9" t="n">
        <f aca="false">IF($A4="","",MAX(H4:J4))</f>
        <v>75</v>
      </c>
      <c r="AF4" s="19" t="n">
        <f aca="false">IF($A4="","",MAX(P4+S4,Q4+T4,R4+U4))</f>
        <v>285000</v>
      </c>
      <c r="AG4" s="19" t="n">
        <f aca="false">IF($A4="","",MAX(V4:X4))</f>
        <v>363750</v>
      </c>
      <c r="AH4" s="20" t="n">
        <f aca="false">IF($A4="","",AG4/K4)</f>
        <v>76.5789473684211</v>
      </c>
      <c r="AI4" s="9" t="n">
        <f aca="false">IF($A4="","",IF(AH4=0,0,IF(AH4&lt;=IF($D4="Regional",INDEX(Catalog!$F$4:$F$23,MATCH($B4,Catalog!$A$4:$A$23,0)),INDEX(Catalog!$D$4:$D$23,MATCH($B4,Catalog!$A$4:$A$23,0))),IF($D4="Regional",INDEX(Catalog!$F$4:$F$23,MATCH($B4,Catalog!$A$4:$A$23,0)),INDEX(Catalog!$D$4:$D$23,MATCH($B4,Catalog!$A$4:$A$23,0))),IF($D4="Regional",INDEX(Catalog!$F$4:$F$23,MATCH($B4,Catalog!$A$4:$A$23,0)),INDEX(Catalog!$D$4:$D$23,MATCH($B4,Catalog!$A$4:$A$23,0)))+CEILING(AH4-IF($D4="Regional",INDEX(Catalog!$F$4:$F$23,MATCH($B4,Catalog!$A$4:$A$23,0)),INDEX(Catalog!$D$4:$D$23,MATCH($B4,Catalog!$A$4:$A$23,0))),IF($D4="Regional",INDEX(Catalog!$G$4:$G$23,MATCH($B4,Catalog!$A$4:$A$23,0)),INDEX(Catalog!$E$4:$E$23,MATCH($B4,Catalog!$A$4:$A$23,0)))))))</f>
        <v>80</v>
      </c>
    </row>
    <row r="5" customFormat="false" ht="15" hidden="false" customHeight="false" outlineLevel="0" collapsed="false">
      <c r="A5" s="9" t="str">
        <f aca="false">IF(UseCases!A5="","",UseCases!A5)</f>
        <v>Summarization</v>
      </c>
      <c r="B5" s="9" t="str">
        <f aca="false">IF($A5="","",UseCases!B5)</f>
        <v>gpt-5</v>
      </c>
      <c r="C5" s="9" t="str">
        <f aca="false">IF($A5="","",UseCases!C5)</f>
        <v>Global</v>
      </c>
      <c r="D5" s="9" t="str">
        <f aca="false">IF($A5="","",UseCases!D5)</f>
        <v>Global</v>
      </c>
      <c r="E5" s="9" t="n">
        <f aca="false">IF($A5="","",UseCases!E5)</f>
        <v>5000</v>
      </c>
      <c r="F5" s="9" t="n">
        <f aca="false">IF($A5="","",UseCases!F5)</f>
        <v>300</v>
      </c>
      <c r="G5" s="17" t="n">
        <f aca="false">IF($A5="","",UseCases!G5)</f>
        <v>0.1</v>
      </c>
      <c r="H5" s="9" t="n">
        <f aca="false">IF($A5="","",N(UseCases!H5))</f>
        <v>75</v>
      </c>
      <c r="I5" s="9" t="n">
        <f aca="false">IF($A5="","",N(UseCases!I5))</f>
        <v>10</v>
      </c>
      <c r="J5" s="9" t="n">
        <f aca="false">IF($A5="","",N(UseCases!J5))</f>
        <v>10</v>
      </c>
      <c r="K5" s="9" t="n">
        <f aca="false">IF($A5="","",INDEX(Catalog!$B$4:$B$23,MATCH($B5,Catalog!$A$4:$A$23,0)))</f>
        <v>4750</v>
      </c>
      <c r="L5" s="9" t="n">
        <f aca="false">IF($A5="","",INDEX(Catalog!$C$4:$C$23,MATCH($B5,Catalog!$A$4:$A$23,0)))</f>
        <v>8</v>
      </c>
      <c r="M5" s="18" t="n">
        <f aca="false">IF($A5="","",INDEX(Catalog!$H$4:$H$23,MATCH($B5,Catalog!$A$4:$A$23,0))*INDEX(Catalog!$B$35:$B$37,MATCH($C5,Catalog!$A$35:$A$37,0)))</f>
        <v>1.25</v>
      </c>
      <c r="N5" s="18" t="n">
        <f aca="false">IF($A5="","",INDEX(Catalog!$I$4:$I$23,MATCH($B5,Catalog!$A$4:$A$23,0))*INDEX(Catalog!$B$35:$B$37,MATCH($C5,Catalog!$A$35:$A$37,0)))</f>
        <v>0.125</v>
      </c>
      <c r="O5" s="18" t="n">
        <f aca="false">IF($A5="","",INDEX(Catalog!$J$4:$J$23,MATCH($B5,Catalog!$A$4:$A$23,0))*INDEX(Catalog!$B$35:$B$37,MATCH($C5,Catalog!$A$35:$A$37,0)))</f>
        <v>10</v>
      </c>
      <c r="P5" s="19" t="n">
        <f aca="false">IF($A5="","",H5*$E5)</f>
        <v>375000</v>
      </c>
      <c r="Q5" s="19" t="n">
        <f aca="false">IF($A5="","",I5*$E5)</f>
        <v>50000</v>
      </c>
      <c r="R5" s="19" t="n">
        <f aca="false">IF($A5="","",J5*$E5)</f>
        <v>50000</v>
      </c>
      <c r="S5" s="19" t="n">
        <f aca="false">IF($A5="","",H5*$F5)</f>
        <v>22500</v>
      </c>
      <c r="T5" s="19" t="n">
        <f aca="false">IF($A5="","",I5*$F5)</f>
        <v>3000</v>
      </c>
      <c r="U5" s="19" t="n">
        <f aca="false">IF($A5="","",J5*$F5)</f>
        <v>3000</v>
      </c>
      <c r="V5" s="19" t="n">
        <f aca="false">IF($A5="","",P5*(1-$G5)+S5*$L5)</f>
        <v>517500</v>
      </c>
      <c r="W5" s="19" t="n">
        <f aca="false">IF($A5="","",Q5*(1-$G5)+T5*$L5)</f>
        <v>69000</v>
      </c>
      <c r="X5" s="19" t="n">
        <f aca="false">IF($A5="","",R5*(1-$G5)+U5*$L5)</f>
        <v>69000</v>
      </c>
      <c r="Y5" s="18" t="n">
        <f aca="false">IF($A5="","",(P5*60*LoadPeriods!$E$4*((1-$G5)*$M5+$G5*$N5)+S5*60*LoadPeriods!$E$4*$O5)/1000000)</f>
        <v>8499.40011160714</v>
      </c>
      <c r="Z5" s="18" t="n">
        <f aca="false">IF($A5="","",(Q5*60*LoadPeriods!$E$5*((1-$G5)*$M5+$G5*$N5)+T5*60*LoadPeriods!$E$5*$O5)/1000000)</f>
        <v>1586.5546875</v>
      </c>
      <c r="AA5" s="18" t="n">
        <f aca="false">IF($A5="","",(R5*60*LoadPeriods!$E$6*((1-$G5)*$M5+$G5*$N5)+U5*60*LoadPeriods!$E$6*$O5)/1000000)</f>
        <v>1087.92321428571</v>
      </c>
      <c r="AB5" s="18" t="n">
        <f aca="false">IF($A5="","",SUM(Y5:AA5))</f>
        <v>11173.8780133929</v>
      </c>
      <c r="AC5" s="19" t="n">
        <f aca="false">IF($A5="","",SUMPRODUCT(P5:R5,60*TRANSPOSE(LoadPeriods!$E$4:$E$6)))</f>
        <v>6431008928.57143</v>
      </c>
      <c r="AD5" s="19" t="n">
        <f aca="false">IF($A5="","",SUMPRODUCT(S5:U5,60*TRANSPOSE(LoadPeriods!$E$4:$E$6)))</f>
        <v>385860535.714286</v>
      </c>
      <c r="AE5" s="9" t="n">
        <f aca="false">IF($A5="","",MAX(H5:J5))</f>
        <v>75</v>
      </c>
      <c r="AF5" s="19" t="n">
        <f aca="false">IF($A5="","",MAX(P5+S5,Q5+T5,R5+U5))</f>
        <v>397500</v>
      </c>
      <c r="AG5" s="19" t="n">
        <f aca="false">IF($A5="","",MAX(V5:X5))</f>
        <v>517500</v>
      </c>
      <c r="AH5" s="20" t="n">
        <f aca="false">IF($A5="","",AG5/K5)</f>
        <v>108.947368421053</v>
      </c>
      <c r="AI5" s="9" t="n">
        <f aca="false">IF($A5="","",IF(AH5=0,0,IF(AH5&lt;=IF($D5="Regional",INDEX(Catalog!$F$4:$F$23,MATCH($B5,Catalog!$A$4:$A$23,0)),INDEX(Catalog!$D$4:$D$23,MATCH($B5,Catalog!$A$4:$A$23,0))),IF($D5="Regional",INDEX(Catalog!$F$4:$F$23,MATCH($B5,Catalog!$A$4:$A$23,0)),INDEX(Catalog!$D$4:$D$23,MATCH($B5,Catalog!$A$4:$A$23,0))),IF($D5="Regional",INDEX(Catalog!$F$4:$F$23,MATCH($B5,Catalog!$A$4:$A$23,0)),INDEX(Catalog!$D$4:$D$23,MATCH($B5,Catalog!$A$4:$A$23,0)))+CEILING(AH5-IF($D5="Regional",INDEX(Catalog!$F$4:$F$23,MATCH($B5,Catalog!$A$4:$A$23,0)),INDEX(Catalog!$D$4:$D$23,MATCH($B5,Catalog!$A$4:$A$23,0))),IF($D5="Regional",INDEX(Catalog!$G$4:$G$23,MATCH($B5,Catalog!$A$4:$A$23,0)),INDEX(Catalog!$E$4:$E$23,MATCH($B5,Catalog!$A$4:$A$23,0)))))))</f>
        <v>110</v>
      </c>
    </row>
    <row r="6" customFormat="false" ht="15" hidden="false" customHeight="false" outlineLevel="0" collapsed="false">
      <c r="A6" s="9" t="str">
        <f aca="false">IF(UseCases!A6="","",UseCases!A6)</f>
        <v>Classification</v>
      </c>
      <c r="B6" s="9" t="str">
        <f aca="false">IF($A6="","",UseCases!B6)</f>
        <v>gpt-5-mini</v>
      </c>
      <c r="C6" s="9" t="str">
        <f aca="false">IF($A6="","",UseCases!C6)</f>
        <v>Global</v>
      </c>
      <c r="D6" s="9" t="str">
        <f aca="false">IF($A6="","",UseCases!D6)</f>
        <v>Global</v>
      </c>
      <c r="E6" s="9" t="n">
        <f aca="false">IF($A6="","",UseCases!E6)</f>
        <v>3800</v>
      </c>
      <c r="F6" s="9" t="n">
        <f aca="false">IF($A6="","",UseCases!F6)</f>
        <v>10</v>
      </c>
      <c r="G6" s="17" t="n">
        <f aca="false">IF($A6="","",UseCases!G6)</f>
        <v>0.5</v>
      </c>
      <c r="H6" s="9" t="n">
        <f aca="false">IF($A6="","",N(UseCases!H6))</f>
        <v>75</v>
      </c>
      <c r="I6" s="9" t="n">
        <f aca="false">IF($A6="","",N(UseCases!I6))</f>
        <v>10</v>
      </c>
      <c r="J6" s="9" t="n">
        <f aca="false">IF($A6="","",N(UseCases!J6))</f>
        <v>10</v>
      </c>
      <c r="K6" s="9" t="n">
        <f aca="false">IF($A6="","",INDEX(Catalog!$B$4:$B$23,MATCH($B6,Catalog!$A$4:$A$23,0)))</f>
        <v>23750</v>
      </c>
      <c r="L6" s="9" t="n">
        <f aca="false">IF($A6="","",INDEX(Catalog!$C$4:$C$23,MATCH($B6,Catalog!$A$4:$A$23,0)))</f>
        <v>8</v>
      </c>
      <c r="M6" s="18" t="n">
        <f aca="false">IF($A6="","",INDEX(Catalog!$H$4:$H$23,MATCH($B6,Catalog!$A$4:$A$23,0))*INDEX(Catalog!$B$35:$B$37,MATCH($C6,Catalog!$A$35:$A$37,0)))</f>
        <v>0.25</v>
      </c>
      <c r="N6" s="18" t="n">
        <f aca="false">IF($A6="","",INDEX(Catalog!$I$4:$I$23,MATCH($B6,Catalog!$A$4:$A$23,0))*INDEX(Catalog!$B$35:$B$37,MATCH($C6,Catalog!$A$35:$A$37,0)))</f>
        <v>0.025</v>
      </c>
      <c r="O6" s="18" t="n">
        <f aca="false">IF($A6="","",INDEX(Catalog!$J$4:$J$23,MATCH($B6,Catalog!$A$4:$A$23,0))*INDEX(Catalog!$B$35:$B$37,MATCH($C6,Catalog!$A$35:$A$37,0)))</f>
        <v>2</v>
      </c>
      <c r="P6" s="19" t="n">
        <f aca="false">IF($A6="","",H6*$E6)</f>
        <v>285000</v>
      </c>
      <c r="Q6" s="19" t="n">
        <f aca="false">IF($A6="","",I6*$E6)</f>
        <v>38000</v>
      </c>
      <c r="R6" s="19" t="n">
        <f aca="false">IF($A6="","",J6*$E6)</f>
        <v>38000</v>
      </c>
      <c r="S6" s="19" t="n">
        <f aca="false">IF($A6="","",H6*$F6)</f>
        <v>750</v>
      </c>
      <c r="T6" s="19" t="n">
        <f aca="false">IF($A6="","",I6*$F6)</f>
        <v>100</v>
      </c>
      <c r="U6" s="19" t="n">
        <f aca="false">IF($A6="","",J6*$F6)</f>
        <v>100</v>
      </c>
      <c r="V6" s="19" t="n">
        <f aca="false">IF($A6="","",P6*(1-$G6)+S6*$L6)</f>
        <v>148500</v>
      </c>
      <c r="W6" s="19" t="n">
        <f aca="false">IF($A6="","",Q6*(1-$G6)+T6*$L6)</f>
        <v>19800</v>
      </c>
      <c r="X6" s="19" t="n">
        <f aca="false">IF($A6="","",R6*(1-$G6)+U6*$L6)</f>
        <v>19800</v>
      </c>
      <c r="Y6" s="18" t="n">
        <f aca="false">IF($A6="","",(P6*60*LoadPeriods!$E$4*((1-$G6)*$M6+$G6*$N6)+S6*60*LoadPeriods!$E$4*$O6)/1000000)</f>
        <v>530.75390625</v>
      </c>
      <c r="Z6" s="18" t="n">
        <f aca="false">IF($A6="","",(Q6*60*LoadPeriods!$E$5*((1-$G6)*$M6+$G6*$N6)+T6*60*LoadPeriods!$E$5*$O6)/1000000)</f>
        <v>99.0740625</v>
      </c>
      <c r="AA6" s="18" t="n">
        <f aca="false">IF($A6="","",(R6*60*LoadPeriods!$E$6*((1-$G6)*$M6+$G6*$N6)+U6*60*LoadPeriods!$E$6*$O6)/1000000)</f>
        <v>67.9365</v>
      </c>
      <c r="AB6" s="18" t="n">
        <f aca="false">IF($A6="","",SUM(Y6:AA6))</f>
        <v>697.76446875</v>
      </c>
      <c r="AC6" s="19" t="n">
        <f aca="false">IF($A6="","",SUMPRODUCT(P6:R6,60*TRANSPOSE(LoadPeriods!$E$4:$E$6)))</f>
        <v>4887566785.71429</v>
      </c>
      <c r="AD6" s="19" t="n">
        <f aca="false">IF($A6="","",SUMPRODUCT(S6:U6,60*TRANSPOSE(LoadPeriods!$E$4:$E$6)))</f>
        <v>12862017.8571429</v>
      </c>
      <c r="AE6" s="9" t="n">
        <f aca="false">IF($A6="","",MAX(H6:J6))</f>
        <v>75</v>
      </c>
      <c r="AF6" s="19" t="n">
        <f aca="false">IF($A6="","",MAX(P6+S6,Q6+T6,R6+U6))</f>
        <v>285750</v>
      </c>
      <c r="AG6" s="19" t="n">
        <f aca="false">IF($A6="","",MAX(V6:X6))</f>
        <v>148500</v>
      </c>
      <c r="AH6" s="20" t="n">
        <f aca="false">IF($A6="","",AG6/K6)</f>
        <v>6.25263157894737</v>
      </c>
      <c r="AI6" s="9" t="n">
        <f aca="false">IF($A6="","",IF(AH6=0,0,IF(AH6&lt;=IF($D6="Regional",INDEX(Catalog!$F$4:$F$23,MATCH($B6,Catalog!$A$4:$A$23,0)),INDEX(Catalog!$D$4:$D$23,MATCH($B6,Catalog!$A$4:$A$23,0))),IF($D6="Regional",INDEX(Catalog!$F$4:$F$23,MATCH($B6,Catalog!$A$4:$A$23,0)),INDEX(Catalog!$D$4:$D$23,MATCH($B6,Catalog!$A$4:$A$23,0))),IF($D6="Regional",INDEX(Catalog!$F$4:$F$23,MATCH($B6,Catalog!$A$4:$A$23,0)),INDEX(Catalog!$D$4:$D$23,MATCH($B6,Catalog!$A$4:$A$23,0)))+CEILING(AH6-IF($D6="Regional",INDEX(Catalog!$F$4:$F$23,MATCH($B6,Catalog!$A$4:$A$23,0)),INDEX(Catalog!$D$4:$D$23,MATCH($B6,Catalog!$A$4:$A$23,0))),IF($D6="Regional",INDEX(Catalog!$G$4:$G$23,MATCH($B6,Catalog!$A$4:$A$23,0)),INDEX(Catalog!$E$4:$E$23,MATCH($B6,Catalog!$A$4:$A$23,0)))))))</f>
        <v>15</v>
      </c>
    </row>
    <row r="7" customFormat="false" ht="15" hidden="false" customHeight="false" outlineLevel="0" collapsed="false">
      <c r="A7" s="9" t="str">
        <f aca="false">IF(UseCases!A7="","",UseCases!A7)</f>
        <v/>
      </c>
      <c r="B7" s="9" t="str">
        <f aca="false">IF($A7="","",UseCases!B7)</f>
        <v/>
      </c>
      <c r="C7" s="9" t="str">
        <f aca="false">IF($A7="","",UseCases!C7)</f>
        <v/>
      </c>
      <c r="D7" s="9" t="str">
        <f aca="false">IF($A7="","",UseCases!D7)</f>
        <v/>
      </c>
      <c r="E7" s="9" t="str">
        <f aca="false">IF($A7="","",UseCases!E7)</f>
        <v/>
      </c>
      <c r="F7" s="9" t="str">
        <f aca="false">IF($A7="","",UseCases!F7)</f>
        <v/>
      </c>
      <c r="G7" s="17" t="str">
        <f aca="false">IF($A7="","",UseCases!G7)</f>
        <v/>
      </c>
      <c r="H7" s="9" t="str">
        <f aca="false">IF($A7="","",N(UseCases!H7))</f>
        <v/>
      </c>
      <c r="I7" s="9" t="str">
        <f aca="false">IF($A7="","",N(UseCases!I7))</f>
        <v/>
      </c>
      <c r="J7" s="9" t="str">
        <f aca="false">IF($A7="","",N(UseCases!J7))</f>
        <v/>
      </c>
      <c r="K7" s="9" t="str">
        <f aca="false">IF($A7="","",INDEX(Catalog!$B$4:$B$23,MATCH($B7,Catalog!$A$4:$A$23,0)))</f>
        <v/>
      </c>
      <c r="L7" s="9" t="str">
        <f aca="false">IF($A7="","",INDEX(Catalog!$C$4:$C$23,MATCH($B7,Catalog!$A$4:$A$23,0)))</f>
        <v/>
      </c>
      <c r="M7" s="18" t="str">
        <f aca="false">IF($A7="","",INDEX(Catalog!$H$4:$H$23,MATCH($B7,Catalog!$A$4:$A$23,0))*INDEX(Catalog!$B$35:$B$37,MATCH($C7,Catalog!$A$35:$A$37,0)))</f>
        <v/>
      </c>
      <c r="N7" s="18" t="str">
        <f aca="false">IF($A7="","",INDEX(Catalog!$I$4:$I$23,MATCH($B7,Catalog!$A$4:$A$23,0))*INDEX(Catalog!$B$35:$B$37,MATCH($C7,Catalog!$A$35:$A$37,0)))</f>
        <v/>
      </c>
      <c r="O7" s="18" t="str">
        <f aca="false">IF($A7="","",INDEX(Catalog!$J$4:$J$23,MATCH($B7,Catalog!$A$4:$A$23,0))*INDEX(Catalog!$B$35:$B$37,MATCH($C7,Catalog!$A$35:$A$37,0)))</f>
        <v/>
      </c>
      <c r="P7" s="19" t="str">
        <f aca="false">IF($A7="","",H7*$E7)</f>
        <v/>
      </c>
      <c r="Q7" s="19" t="str">
        <f aca="false">IF($A7="","",I7*$E7)</f>
        <v/>
      </c>
      <c r="R7" s="19" t="str">
        <f aca="false">IF($A7="","",J7*$E7)</f>
        <v/>
      </c>
      <c r="S7" s="19" t="str">
        <f aca="false">IF($A7="","",H7*$F7)</f>
        <v/>
      </c>
      <c r="T7" s="19" t="str">
        <f aca="false">IF($A7="","",I7*$F7)</f>
        <v/>
      </c>
      <c r="U7" s="19" t="str">
        <f aca="false">IF($A7="","",J7*$F7)</f>
        <v/>
      </c>
      <c r="V7" s="19" t="str">
        <f aca="false">IF($A7="","",P7*(1-$G7)+S7*$L7)</f>
        <v/>
      </c>
      <c r="W7" s="19" t="str">
        <f aca="false">IF($A7="","",Q7*(1-$G7)+T7*$L7)</f>
        <v/>
      </c>
      <c r="X7" s="19" t="str">
        <f aca="false">IF($A7="","",R7*(1-$G7)+U7*$L7)</f>
        <v/>
      </c>
      <c r="Y7" s="18" t="str">
        <f aca="false">IF($A7="","",(P7*60*LoadPeriods!$E$4*((1-$G7)*$M7+$G7*$N7)+S7*60*LoadPeriods!$E$4*$O7)/1000000)</f>
        <v/>
      </c>
      <c r="Z7" s="18" t="str">
        <f aca="false">IF($A7="","",(Q7*60*LoadPeriods!$E$5*((1-$G7)*$M7+$G7*$N7)+T7*60*LoadPeriods!$E$5*$O7)/1000000)</f>
        <v/>
      </c>
      <c r="AA7" s="18" t="str">
        <f aca="false">IF($A7="","",(R7*60*LoadPeriods!$E$6*((1-$G7)*$M7+$G7*$N7)+U7*60*LoadPeriods!$E$6*$O7)/1000000)</f>
        <v/>
      </c>
      <c r="AB7" s="18" t="str">
        <f aca="false">IF($A7="","",SUM(Y7:AA7))</f>
        <v/>
      </c>
      <c r="AC7" s="19" t="str">
        <f aca="false">IF($A7="","",SUMPRODUCT(P7:R7,60*TRANSPOSE(LoadPeriods!$E$4:$E$6)))</f>
        <v/>
      </c>
      <c r="AD7" s="19" t="str">
        <f aca="false">IF($A7="","",SUMPRODUCT(S7:U7,60*TRANSPOSE(LoadPeriods!$E$4:$E$6)))</f>
        <v/>
      </c>
      <c r="AE7" s="9" t="str">
        <f aca="false">IF($A7="","",MAX(H7:J7))</f>
        <v/>
      </c>
      <c r="AF7" s="19" t="str">
        <f aca="false">IF($A7="","",MAX(P7+S7,Q7+T7,R7+U7))</f>
        <v/>
      </c>
      <c r="AG7" s="19" t="str">
        <f aca="false">IF($A7="","",MAX(V7:X7))</f>
        <v/>
      </c>
      <c r="AH7" s="20" t="str">
        <f aca="false">IF($A7="","",AG7/K7)</f>
        <v/>
      </c>
      <c r="AI7" s="9" t="str">
        <f aca="false">IF($A7="","",IF(AH7=0,0,IF(AH7&lt;=IF($D7="Regional",INDEX(Catalog!$F$4:$F$23,MATCH($B7,Catalog!$A$4:$A$23,0)),INDEX(Catalog!$D$4:$D$23,MATCH($B7,Catalog!$A$4:$A$23,0))),IF($D7="Regional",INDEX(Catalog!$F$4:$F$23,MATCH($B7,Catalog!$A$4:$A$23,0)),INDEX(Catalog!$D$4:$D$23,MATCH($B7,Catalog!$A$4:$A$23,0))),IF($D7="Regional",INDEX(Catalog!$F$4:$F$23,MATCH($B7,Catalog!$A$4:$A$23,0)),INDEX(Catalog!$D$4:$D$23,MATCH($B7,Catalog!$A$4:$A$23,0)))+CEILING(AH7-IF($D7="Regional",INDEX(Catalog!$F$4:$F$23,MATCH($B7,Catalog!$A$4:$A$23,0)),INDEX(Catalog!$D$4:$D$23,MATCH($B7,Catalog!$A$4:$A$23,0))),IF($D7="Regional",INDEX(Catalog!$G$4:$G$23,MATCH($B7,Catalog!$A$4:$A$23,0)),INDEX(Catalog!$E$4:$E$23,MATCH($B7,Catalog!$A$4:$A$23,0)))))))</f>
        <v/>
      </c>
    </row>
    <row r="8" customFormat="false" ht="15" hidden="false" customHeight="false" outlineLevel="0" collapsed="false">
      <c r="A8" s="9" t="str">
        <f aca="false">IF(UseCases!A8="","",UseCases!A8)</f>
        <v/>
      </c>
      <c r="B8" s="9" t="str">
        <f aca="false">IF($A8="","",UseCases!B8)</f>
        <v/>
      </c>
      <c r="C8" s="9" t="str">
        <f aca="false">IF($A8="","",UseCases!C8)</f>
        <v/>
      </c>
      <c r="D8" s="9" t="str">
        <f aca="false">IF($A8="","",UseCases!D8)</f>
        <v/>
      </c>
      <c r="E8" s="9" t="str">
        <f aca="false">IF($A8="","",UseCases!E8)</f>
        <v/>
      </c>
      <c r="F8" s="9" t="str">
        <f aca="false">IF($A8="","",UseCases!F8)</f>
        <v/>
      </c>
      <c r="G8" s="17" t="str">
        <f aca="false">IF($A8="","",UseCases!G8)</f>
        <v/>
      </c>
      <c r="H8" s="9" t="str">
        <f aca="false">IF($A8="","",N(UseCases!H8))</f>
        <v/>
      </c>
      <c r="I8" s="9" t="str">
        <f aca="false">IF($A8="","",N(UseCases!I8))</f>
        <v/>
      </c>
      <c r="J8" s="9" t="str">
        <f aca="false">IF($A8="","",N(UseCases!J8))</f>
        <v/>
      </c>
      <c r="K8" s="9" t="str">
        <f aca="false">IF($A8="","",INDEX(Catalog!$B$4:$B$23,MATCH($B8,Catalog!$A$4:$A$23,0)))</f>
        <v/>
      </c>
      <c r="L8" s="9" t="str">
        <f aca="false">IF($A8="","",INDEX(Catalog!$C$4:$C$23,MATCH($B8,Catalog!$A$4:$A$23,0)))</f>
        <v/>
      </c>
      <c r="M8" s="18" t="str">
        <f aca="false">IF($A8="","",INDEX(Catalog!$H$4:$H$23,MATCH($B8,Catalog!$A$4:$A$23,0))*INDEX(Catalog!$B$35:$B$37,MATCH($C8,Catalog!$A$35:$A$37,0)))</f>
        <v/>
      </c>
      <c r="N8" s="18" t="str">
        <f aca="false">IF($A8="","",INDEX(Catalog!$I$4:$I$23,MATCH($B8,Catalog!$A$4:$A$23,0))*INDEX(Catalog!$B$35:$B$37,MATCH($C8,Catalog!$A$35:$A$37,0)))</f>
        <v/>
      </c>
      <c r="O8" s="18" t="str">
        <f aca="false">IF($A8="","",INDEX(Catalog!$J$4:$J$23,MATCH($B8,Catalog!$A$4:$A$23,0))*INDEX(Catalog!$B$35:$B$37,MATCH($C8,Catalog!$A$35:$A$37,0)))</f>
        <v/>
      </c>
      <c r="P8" s="19" t="str">
        <f aca="false">IF($A8="","",H8*$E8)</f>
        <v/>
      </c>
      <c r="Q8" s="19" t="str">
        <f aca="false">IF($A8="","",I8*$E8)</f>
        <v/>
      </c>
      <c r="R8" s="19" t="str">
        <f aca="false">IF($A8="","",J8*$E8)</f>
        <v/>
      </c>
      <c r="S8" s="19" t="str">
        <f aca="false">IF($A8="","",H8*$F8)</f>
        <v/>
      </c>
      <c r="T8" s="19" t="str">
        <f aca="false">IF($A8="","",I8*$F8)</f>
        <v/>
      </c>
      <c r="U8" s="19" t="str">
        <f aca="false">IF($A8="","",J8*$F8)</f>
        <v/>
      </c>
      <c r="V8" s="19" t="str">
        <f aca="false">IF($A8="","",P8*(1-$G8)+S8*$L8)</f>
        <v/>
      </c>
      <c r="W8" s="19" t="str">
        <f aca="false">IF($A8="","",Q8*(1-$G8)+T8*$L8)</f>
        <v/>
      </c>
      <c r="X8" s="19" t="str">
        <f aca="false">IF($A8="","",R8*(1-$G8)+U8*$L8)</f>
        <v/>
      </c>
      <c r="Y8" s="18" t="str">
        <f aca="false">IF($A8="","",(P8*60*LoadPeriods!$E$4*((1-$G8)*$M8+$G8*$N8)+S8*60*LoadPeriods!$E$4*$O8)/1000000)</f>
        <v/>
      </c>
      <c r="Z8" s="18" t="str">
        <f aca="false">IF($A8="","",(Q8*60*LoadPeriods!$E$5*((1-$G8)*$M8+$G8*$N8)+T8*60*LoadPeriods!$E$5*$O8)/1000000)</f>
        <v/>
      </c>
      <c r="AA8" s="18" t="str">
        <f aca="false">IF($A8="","",(R8*60*LoadPeriods!$E$6*((1-$G8)*$M8+$G8*$N8)+U8*60*LoadPeriods!$E$6*$O8)/1000000)</f>
        <v/>
      </c>
      <c r="AB8" s="18" t="str">
        <f aca="false">IF($A8="","",SUM(Y8:AA8))</f>
        <v/>
      </c>
      <c r="AC8" s="19" t="str">
        <f aca="false">IF($A8="","",SUMPRODUCT(P8:R8,60*TRANSPOSE(LoadPeriods!$E$4:$E$6)))</f>
        <v/>
      </c>
      <c r="AD8" s="19" t="str">
        <f aca="false">IF($A8="","",SUMPRODUCT(S8:U8,60*TRANSPOSE(LoadPeriods!$E$4:$E$6)))</f>
        <v/>
      </c>
      <c r="AE8" s="9" t="str">
        <f aca="false">IF($A8="","",MAX(H8:J8))</f>
        <v/>
      </c>
      <c r="AF8" s="19" t="str">
        <f aca="false">IF($A8="","",MAX(P8+S8,Q8+T8,R8+U8))</f>
        <v/>
      </c>
      <c r="AG8" s="19" t="str">
        <f aca="false">IF($A8="","",MAX(V8:X8))</f>
        <v/>
      </c>
      <c r="AH8" s="20" t="str">
        <f aca="false">IF($A8="","",AG8/K8)</f>
        <v/>
      </c>
      <c r="AI8" s="9" t="str">
        <f aca="false">IF($A8="","",IF(AH8=0,0,IF(AH8&lt;=IF($D8="Regional",INDEX(Catalog!$F$4:$F$23,MATCH($B8,Catalog!$A$4:$A$23,0)),INDEX(Catalog!$D$4:$D$23,MATCH($B8,Catalog!$A$4:$A$23,0))),IF($D8="Regional",INDEX(Catalog!$F$4:$F$23,MATCH($B8,Catalog!$A$4:$A$23,0)),INDEX(Catalog!$D$4:$D$23,MATCH($B8,Catalog!$A$4:$A$23,0))),IF($D8="Regional",INDEX(Catalog!$F$4:$F$23,MATCH($B8,Catalog!$A$4:$A$23,0)),INDEX(Catalog!$D$4:$D$23,MATCH($B8,Catalog!$A$4:$A$23,0)))+CEILING(AH8-IF($D8="Regional",INDEX(Catalog!$F$4:$F$23,MATCH($B8,Catalog!$A$4:$A$23,0)),INDEX(Catalog!$D$4:$D$23,MATCH($B8,Catalog!$A$4:$A$23,0))),IF($D8="Regional",INDEX(Catalog!$G$4:$G$23,MATCH($B8,Catalog!$A$4:$A$23,0)),INDEX(Catalog!$E$4:$E$23,MATCH($B8,Catalog!$A$4:$A$23,0)))))))</f>
        <v/>
      </c>
    </row>
    <row r="9" customFormat="false" ht="15" hidden="false" customHeight="false" outlineLevel="0" collapsed="false">
      <c r="A9" s="9" t="str">
        <f aca="false">IF(UseCases!A9="","",UseCases!A9)</f>
        <v/>
      </c>
      <c r="B9" s="9" t="str">
        <f aca="false">IF($A9="","",UseCases!B9)</f>
        <v/>
      </c>
      <c r="C9" s="9" t="str">
        <f aca="false">IF($A9="","",UseCases!C9)</f>
        <v/>
      </c>
      <c r="D9" s="9" t="str">
        <f aca="false">IF($A9="","",UseCases!D9)</f>
        <v/>
      </c>
      <c r="E9" s="9" t="str">
        <f aca="false">IF($A9="","",UseCases!E9)</f>
        <v/>
      </c>
      <c r="F9" s="9" t="str">
        <f aca="false">IF($A9="","",UseCases!F9)</f>
        <v/>
      </c>
      <c r="G9" s="17" t="str">
        <f aca="false">IF($A9="","",UseCases!G9)</f>
        <v/>
      </c>
      <c r="H9" s="9" t="str">
        <f aca="false">IF($A9="","",N(UseCases!H9))</f>
        <v/>
      </c>
      <c r="I9" s="9" t="str">
        <f aca="false">IF($A9="","",N(UseCases!I9))</f>
        <v/>
      </c>
      <c r="J9" s="9" t="str">
        <f aca="false">IF($A9="","",N(UseCases!J9))</f>
        <v/>
      </c>
      <c r="K9" s="9" t="str">
        <f aca="false">IF($A9="","",INDEX(Catalog!$B$4:$B$23,MATCH($B9,Catalog!$A$4:$A$23,0)))</f>
        <v/>
      </c>
      <c r="L9" s="9" t="str">
        <f aca="false">IF($A9="","",INDEX(Catalog!$C$4:$C$23,MATCH($B9,Catalog!$A$4:$A$23,0)))</f>
        <v/>
      </c>
      <c r="M9" s="18" t="str">
        <f aca="false">IF($A9="","",INDEX(Catalog!$H$4:$H$23,MATCH($B9,Catalog!$A$4:$A$23,0))*INDEX(Catalog!$B$35:$B$37,MATCH($C9,Catalog!$A$35:$A$37,0)))</f>
        <v/>
      </c>
      <c r="N9" s="18" t="str">
        <f aca="false">IF($A9="","",INDEX(Catalog!$I$4:$I$23,MATCH($B9,Catalog!$A$4:$A$23,0))*INDEX(Catalog!$B$35:$B$37,MATCH($C9,Catalog!$A$35:$A$37,0)))</f>
        <v/>
      </c>
      <c r="O9" s="18" t="str">
        <f aca="false">IF($A9="","",INDEX(Catalog!$J$4:$J$23,MATCH($B9,Catalog!$A$4:$A$23,0))*INDEX(Catalog!$B$35:$B$37,MATCH($C9,Catalog!$A$35:$A$37,0)))</f>
        <v/>
      </c>
      <c r="P9" s="19" t="str">
        <f aca="false">IF($A9="","",H9*$E9)</f>
        <v/>
      </c>
      <c r="Q9" s="19" t="str">
        <f aca="false">IF($A9="","",I9*$E9)</f>
        <v/>
      </c>
      <c r="R9" s="19" t="str">
        <f aca="false">IF($A9="","",J9*$E9)</f>
        <v/>
      </c>
      <c r="S9" s="19" t="str">
        <f aca="false">IF($A9="","",H9*$F9)</f>
        <v/>
      </c>
      <c r="T9" s="19" t="str">
        <f aca="false">IF($A9="","",I9*$F9)</f>
        <v/>
      </c>
      <c r="U9" s="19" t="str">
        <f aca="false">IF($A9="","",J9*$F9)</f>
        <v/>
      </c>
      <c r="V9" s="19" t="str">
        <f aca="false">IF($A9="","",P9*(1-$G9)+S9*$L9)</f>
        <v/>
      </c>
      <c r="W9" s="19" t="str">
        <f aca="false">IF($A9="","",Q9*(1-$G9)+T9*$L9)</f>
        <v/>
      </c>
      <c r="X9" s="19" t="str">
        <f aca="false">IF($A9="","",R9*(1-$G9)+U9*$L9)</f>
        <v/>
      </c>
      <c r="Y9" s="18" t="str">
        <f aca="false">IF($A9="","",(P9*60*LoadPeriods!$E$4*((1-$G9)*$M9+$G9*$N9)+S9*60*LoadPeriods!$E$4*$O9)/1000000)</f>
        <v/>
      </c>
      <c r="Z9" s="18" t="str">
        <f aca="false">IF($A9="","",(Q9*60*LoadPeriods!$E$5*((1-$G9)*$M9+$G9*$N9)+T9*60*LoadPeriods!$E$5*$O9)/1000000)</f>
        <v/>
      </c>
      <c r="AA9" s="18" t="str">
        <f aca="false">IF($A9="","",(R9*60*LoadPeriods!$E$6*((1-$G9)*$M9+$G9*$N9)+U9*60*LoadPeriods!$E$6*$O9)/1000000)</f>
        <v/>
      </c>
      <c r="AB9" s="18" t="str">
        <f aca="false">IF($A9="","",SUM(Y9:AA9))</f>
        <v/>
      </c>
      <c r="AC9" s="19" t="str">
        <f aca="false">IF($A9="","",SUMPRODUCT(P9:R9,60*TRANSPOSE(LoadPeriods!$E$4:$E$6)))</f>
        <v/>
      </c>
      <c r="AD9" s="19" t="str">
        <f aca="false">IF($A9="","",SUMPRODUCT(S9:U9,60*TRANSPOSE(LoadPeriods!$E$4:$E$6)))</f>
        <v/>
      </c>
      <c r="AE9" s="9" t="str">
        <f aca="false">IF($A9="","",MAX(H9:J9))</f>
        <v/>
      </c>
      <c r="AF9" s="19" t="str">
        <f aca="false">IF($A9="","",MAX(P9+S9,Q9+T9,R9+U9))</f>
        <v/>
      </c>
      <c r="AG9" s="19" t="str">
        <f aca="false">IF($A9="","",MAX(V9:X9))</f>
        <v/>
      </c>
      <c r="AH9" s="20" t="str">
        <f aca="false">IF($A9="","",AG9/K9)</f>
        <v/>
      </c>
      <c r="AI9" s="9" t="str">
        <f aca="false">IF($A9="","",IF(AH9=0,0,IF(AH9&lt;=IF($D9="Regional",INDEX(Catalog!$F$4:$F$23,MATCH($B9,Catalog!$A$4:$A$23,0)),INDEX(Catalog!$D$4:$D$23,MATCH($B9,Catalog!$A$4:$A$23,0))),IF($D9="Regional",INDEX(Catalog!$F$4:$F$23,MATCH($B9,Catalog!$A$4:$A$23,0)),INDEX(Catalog!$D$4:$D$23,MATCH($B9,Catalog!$A$4:$A$23,0))),IF($D9="Regional",INDEX(Catalog!$F$4:$F$23,MATCH($B9,Catalog!$A$4:$A$23,0)),INDEX(Catalog!$D$4:$D$23,MATCH($B9,Catalog!$A$4:$A$23,0)))+CEILING(AH9-IF($D9="Regional",INDEX(Catalog!$F$4:$F$23,MATCH($B9,Catalog!$A$4:$A$23,0)),INDEX(Catalog!$D$4:$D$23,MATCH($B9,Catalog!$A$4:$A$23,0))),IF($D9="Regional",INDEX(Catalog!$G$4:$G$23,MATCH($B9,Catalog!$A$4:$A$23,0)),INDEX(Catalog!$E$4:$E$23,MATCH($B9,Catalog!$A$4:$A$23,0)))))))</f>
        <v/>
      </c>
    </row>
    <row r="10" customFormat="false" ht="15" hidden="false" customHeight="false" outlineLevel="0" collapsed="false">
      <c r="A10" s="9" t="str">
        <f aca="false">IF(UseCases!A10="","",UseCases!A10)</f>
        <v/>
      </c>
      <c r="B10" s="9" t="str">
        <f aca="false">IF($A10="","",UseCases!B10)</f>
        <v/>
      </c>
      <c r="C10" s="9" t="str">
        <f aca="false">IF($A10="","",UseCases!C10)</f>
        <v/>
      </c>
      <c r="D10" s="9" t="str">
        <f aca="false">IF($A10="","",UseCases!D10)</f>
        <v/>
      </c>
      <c r="E10" s="9" t="str">
        <f aca="false">IF($A10="","",UseCases!E10)</f>
        <v/>
      </c>
      <c r="F10" s="9" t="str">
        <f aca="false">IF($A10="","",UseCases!F10)</f>
        <v/>
      </c>
      <c r="G10" s="17" t="str">
        <f aca="false">IF($A10="","",UseCases!G10)</f>
        <v/>
      </c>
      <c r="H10" s="9" t="str">
        <f aca="false">IF($A10="","",N(UseCases!H10))</f>
        <v/>
      </c>
      <c r="I10" s="9" t="str">
        <f aca="false">IF($A10="","",N(UseCases!I10))</f>
        <v/>
      </c>
      <c r="J10" s="9" t="str">
        <f aca="false">IF($A10="","",N(UseCases!J10))</f>
        <v/>
      </c>
      <c r="K10" s="9" t="str">
        <f aca="false">IF($A10="","",INDEX(Catalog!$B$4:$B$23,MATCH($B10,Catalog!$A$4:$A$23,0)))</f>
        <v/>
      </c>
      <c r="L10" s="9" t="str">
        <f aca="false">IF($A10="","",INDEX(Catalog!$C$4:$C$23,MATCH($B10,Catalog!$A$4:$A$23,0)))</f>
        <v/>
      </c>
      <c r="M10" s="18" t="str">
        <f aca="false">IF($A10="","",INDEX(Catalog!$H$4:$H$23,MATCH($B10,Catalog!$A$4:$A$23,0))*INDEX(Catalog!$B$35:$B$37,MATCH($C10,Catalog!$A$35:$A$37,0)))</f>
        <v/>
      </c>
      <c r="N10" s="18" t="str">
        <f aca="false">IF($A10="","",INDEX(Catalog!$I$4:$I$23,MATCH($B10,Catalog!$A$4:$A$23,0))*INDEX(Catalog!$B$35:$B$37,MATCH($C10,Catalog!$A$35:$A$37,0)))</f>
        <v/>
      </c>
      <c r="O10" s="18" t="str">
        <f aca="false">IF($A10="","",INDEX(Catalog!$J$4:$J$23,MATCH($B10,Catalog!$A$4:$A$23,0))*INDEX(Catalog!$B$35:$B$37,MATCH($C10,Catalog!$A$35:$A$37,0)))</f>
        <v/>
      </c>
      <c r="P10" s="19" t="str">
        <f aca="false">IF($A10="","",H10*$E10)</f>
        <v/>
      </c>
      <c r="Q10" s="19" t="str">
        <f aca="false">IF($A10="","",I10*$E10)</f>
        <v/>
      </c>
      <c r="R10" s="19" t="str">
        <f aca="false">IF($A10="","",J10*$E10)</f>
        <v/>
      </c>
      <c r="S10" s="19" t="str">
        <f aca="false">IF($A10="","",H10*$F10)</f>
        <v/>
      </c>
      <c r="T10" s="19" t="str">
        <f aca="false">IF($A10="","",I10*$F10)</f>
        <v/>
      </c>
      <c r="U10" s="19" t="str">
        <f aca="false">IF($A10="","",J10*$F10)</f>
        <v/>
      </c>
      <c r="V10" s="19" t="str">
        <f aca="false">IF($A10="","",P10*(1-$G10)+S10*$L10)</f>
        <v/>
      </c>
      <c r="W10" s="19" t="str">
        <f aca="false">IF($A10="","",Q10*(1-$G10)+T10*$L10)</f>
        <v/>
      </c>
      <c r="X10" s="19" t="str">
        <f aca="false">IF($A10="","",R10*(1-$G10)+U10*$L10)</f>
        <v/>
      </c>
      <c r="Y10" s="18" t="str">
        <f aca="false">IF($A10="","",(P10*60*LoadPeriods!$E$4*((1-$G10)*$M10+$G10*$N10)+S10*60*LoadPeriods!$E$4*$O10)/1000000)</f>
        <v/>
      </c>
      <c r="Z10" s="18" t="str">
        <f aca="false">IF($A10="","",(Q10*60*LoadPeriods!$E$5*((1-$G10)*$M10+$G10*$N10)+T10*60*LoadPeriods!$E$5*$O10)/1000000)</f>
        <v/>
      </c>
      <c r="AA10" s="18" t="str">
        <f aca="false">IF($A10="","",(R10*60*LoadPeriods!$E$6*((1-$G10)*$M10+$G10*$N10)+U10*60*LoadPeriods!$E$6*$O10)/1000000)</f>
        <v/>
      </c>
      <c r="AB10" s="18" t="str">
        <f aca="false">IF($A10="","",SUM(Y10:AA10))</f>
        <v/>
      </c>
      <c r="AC10" s="19" t="str">
        <f aca="false">IF($A10="","",SUMPRODUCT(P10:R10,60*TRANSPOSE(LoadPeriods!$E$4:$E$6)))</f>
        <v/>
      </c>
      <c r="AD10" s="19" t="str">
        <f aca="false">IF($A10="","",SUMPRODUCT(S10:U10,60*TRANSPOSE(LoadPeriods!$E$4:$E$6)))</f>
        <v/>
      </c>
      <c r="AE10" s="9" t="str">
        <f aca="false">IF($A10="","",MAX(H10:J10))</f>
        <v/>
      </c>
      <c r="AF10" s="19" t="str">
        <f aca="false">IF($A10="","",MAX(P10+S10,Q10+T10,R10+U10))</f>
        <v/>
      </c>
      <c r="AG10" s="19" t="str">
        <f aca="false">IF($A10="","",MAX(V10:X10))</f>
        <v/>
      </c>
      <c r="AH10" s="20" t="str">
        <f aca="false">IF($A10="","",AG10/K10)</f>
        <v/>
      </c>
      <c r="AI10" s="9" t="str">
        <f aca="false">IF($A10="","",IF(AH10=0,0,IF(AH10&lt;=IF($D10="Regional",INDEX(Catalog!$F$4:$F$23,MATCH($B10,Catalog!$A$4:$A$23,0)),INDEX(Catalog!$D$4:$D$23,MATCH($B10,Catalog!$A$4:$A$23,0))),IF($D10="Regional",INDEX(Catalog!$F$4:$F$23,MATCH($B10,Catalog!$A$4:$A$23,0)),INDEX(Catalog!$D$4:$D$23,MATCH($B10,Catalog!$A$4:$A$23,0))),IF($D10="Regional",INDEX(Catalog!$F$4:$F$23,MATCH($B10,Catalog!$A$4:$A$23,0)),INDEX(Catalog!$D$4:$D$23,MATCH($B10,Catalog!$A$4:$A$23,0)))+CEILING(AH10-IF($D10="Regional",INDEX(Catalog!$F$4:$F$23,MATCH($B10,Catalog!$A$4:$A$23,0)),INDEX(Catalog!$D$4:$D$23,MATCH($B10,Catalog!$A$4:$A$23,0))),IF($D10="Regional",INDEX(Catalog!$G$4:$G$23,MATCH($B10,Catalog!$A$4:$A$23,0)),INDEX(Catalog!$E$4:$E$23,MATCH($B10,Catalog!$A$4:$A$23,0)))))))</f>
        <v/>
      </c>
    </row>
    <row r="11" customFormat="false" ht="15" hidden="false" customHeight="false" outlineLevel="0" collapsed="false">
      <c r="A11" s="9" t="str">
        <f aca="false">IF(UseCases!A11="","",UseCases!A11)</f>
        <v/>
      </c>
      <c r="B11" s="9" t="str">
        <f aca="false">IF($A11="","",UseCases!B11)</f>
        <v/>
      </c>
      <c r="C11" s="9" t="str">
        <f aca="false">IF($A11="","",UseCases!C11)</f>
        <v/>
      </c>
      <c r="D11" s="9" t="str">
        <f aca="false">IF($A11="","",UseCases!D11)</f>
        <v/>
      </c>
      <c r="E11" s="9" t="str">
        <f aca="false">IF($A11="","",UseCases!E11)</f>
        <v/>
      </c>
      <c r="F11" s="9" t="str">
        <f aca="false">IF($A11="","",UseCases!F11)</f>
        <v/>
      </c>
      <c r="G11" s="17" t="str">
        <f aca="false">IF($A11="","",UseCases!G11)</f>
        <v/>
      </c>
      <c r="H11" s="9" t="str">
        <f aca="false">IF($A11="","",N(UseCases!H11))</f>
        <v/>
      </c>
      <c r="I11" s="9" t="str">
        <f aca="false">IF($A11="","",N(UseCases!I11))</f>
        <v/>
      </c>
      <c r="J11" s="9" t="str">
        <f aca="false">IF($A11="","",N(UseCases!J11))</f>
        <v/>
      </c>
      <c r="K11" s="9" t="str">
        <f aca="false">IF($A11="","",INDEX(Catalog!$B$4:$B$23,MATCH($B11,Catalog!$A$4:$A$23,0)))</f>
        <v/>
      </c>
      <c r="L11" s="9" t="str">
        <f aca="false">IF($A11="","",INDEX(Catalog!$C$4:$C$23,MATCH($B11,Catalog!$A$4:$A$23,0)))</f>
        <v/>
      </c>
      <c r="M11" s="18" t="str">
        <f aca="false">IF($A11="","",INDEX(Catalog!$H$4:$H$23,MATCH($B11,Catalog!$A$4:$A$23,0))*INDEX(Catalog!$B$35:$B$37,MATCH($C11,Catalog!$A$35:$A$37,0)))</f>
        <v/>
      </c>
      <c r="N11" s="18" t="str">
        <f aca="false">IF($A11="","",INDEX(Catalog!$I$4:$I$23,MATCH($B11,Catalog!$A$4:$A$23,0))*INDEX(Catalog!$B$35:$B$37,MATCH($C11,Catalog!$A$35:$A$37,0)))</f>
        <v/>
      </c>
      <c r="O11" s="18" t="str">
        <f aca="false">IF($A11="","",INDEX(Catalog!$J$4:$J$23,MATCH($B11,Catalog!$A$4:$A$23,0))*INDEX(Catalog!$B$35:$B$37,MATCH($C11,Catalog!$A$35:$A$37,0)))</f>
        <v/>
      </c>
      <c r="P11" s="19" t="str">
        <f aca="false">IF($A11="","",H11*$E11)</f>
        <v/>
      </c>
      <c r="Q11" s="19" t="str">
        <f aca="false">IF($A11="","",I11*$E11)</f>
        <v/>
      </c>
      <c r="R11" s="19" t="str">
        <f aca="false">IF($A11="","",J11*$E11)</f>
        <v/>
      </c>
      <c r="S11" s="19" t="str">
        <f aca="false">IF($A11="","",H11*$F11)</f>
        <v/>
      </c>
      <c r="T11" s="19" t="str">
        <f aca="false">IF($A11="","",I11*$F11)</f>
        <v/>
      </c>
      <c r="U11" s="19" t="str">
        <f aca="false">IF($A11="","",J11*$F11)</f>
        <v/>
      </c>
      <c r="V11" s="19" t="str">
        <f aca="false">IF($A11="","",P11*(1-$G11)+S11*$L11)</f>
        <v/>
      </c>
      <c r="W11" s="19" t="str">
        <f aca="false">IF($A11="","",Q11*(1-$G11)+T11*$L11)</f>
        <v/>
      </c>
      <c r="X11" s="19" t="str">
        <f aca="false">IF($A11="","",R11*(1-$G11)+U11*$L11)</f>
        <v/>
      </c>
      <c r="Y11" s="18" t="str">
        <f aca="false">IF($A11="","",(P11*60*LoadPeriods!$E$4*((1-$G11)*$M11+$G11*$N11)+S11*60*LoadPeriods!$E$4*$O11)/1000000)</f>
        <v/>
      </c>
      <c r="Z11" s="18" t="str">
        <f aca="false">IF($A11="","",(Q11*60*LoadPeriods!$E$5*((1-$G11)*$M11+$G11*$N11)+T11*60*LoadPeriods!$E$5*$O11)/1000000)</f>
        <v/>
      </c>
      <c r="AA11" s="18" t="str">
        <f aca="false">IF($A11="","",(R11*60*LoadPeriods!$E$6*((1-$G11)*$M11+$G11*$N11)+U11*60*LoadPeriods!$E$6*$O11)/1000000)</f>
        <v/>
      </c>
      <c r="AB11" s="18" t="str">
        <f aca="false">IF($A11="","",SUM(Y11:AA11))</f>
        <v/>
      </c>
      <c r="AC11" s="19" t="str">
        <f aca="false">IF($A11="","",SUMPRODUCT(P11:R11,60*TRANSPOSE(LoadPeriods!$E$4:$E$6)))</f>
        <v/>
      </c>
      <c r="AD11" s="19" t="str">
        <f aca="false">IF($A11="","",SUMPRODUCT(S11:U11,60*TRANSPOSE(LoadPeriods!$E$4:$E$6)))</f>
        <v/>
      </c>
      <c r="AE11" s="9" t="str">
        <f aca="false">IF($A11="","",MAX(H11:J11))</f>
        <v/>
      </c>
      <c r="AF11" s="19" t="str">
        <f aca="false">IF($A11="","",MAX(P11+S11,Q11+T11,R11+U11))</f>
        <v/>
      </c>
      <c r="AG11" s="19" t="str">
        <f aca="false">IF($A11="","",MAX(V11:X11))</f>
        <v/>
      </c>
      <c r="AH11" s="20" t="str">
        <f aca="false">IF($A11="","",AG11/K11)</f>
        <v/>
      </c>
      <c r="AI11" s="9" t="str">
        <f aca="false">IF($A11="","",IF(AH11=0,0,IF(AH11&lt;=IF($D11="Regional",INDEX(Catalog!$F$4:$F$23,MATCH($B11,Catalog!$A$4:$A$23,0)),INDEX(Catalog!$D$4:$D$23,MATCH($B11,Catalog!$A$4:$A$23,0))),IF($D11="Regional",INDEX(Catalog!$F$4:$F$23,MATCH($B11,Catalog!$A$4:$A$23,0)),INDEX(Catalog!$D$4:$D$23,MATCH($B11,Catalog!$A$4:$A$23,0))),IF($D11="Regional",INDEX(Catalog!$F$4:$F$23,MATCH($B11,Catalog!$A$4:$A$23,0)),INDEX(Catalog!$D$4:$D$23,MATCH($B11,Catalog!$A$4:$A$23,0)))+CEILING(AH11-IF($D11="Regional",INDEX(Catalog!$F$4:$F$23,MATCH($B11,Catalog!$A$4:$A$23,0)),INDEX(Catalog!$D$4:$D$23,MATCH($B11,Catalog!$A$4:$A$23,0))),IF($D11="Regional",INDEX(Catalog!$G$4:$G$23,MATCH($B11,Catalog!$A$4:$A$23,0)),INDEX(Catalog!$E$4:$E$23,MATCH($B11,Catalog!$A$4:$A$23,0)))))))</f>
        <v/>
      </c>
    </row>
    <row r="12" customFormat="false" ht="15" hidden="false" customHeight="false" outlineLevel="0" collapsed="false">
      <c r="A12" s="9" t="str">
        <f aca="false">IF(UseCases!A12="","",UseCases!A12)</f>
        <v/>
      </c>
      <c r="B12" s="9" t="str">
        <f aca="false">IF($A12="","",UseCases!B12)</f>
        <v/>
      </c>
      <c r="C12" s="9" t="str">
        <f aca="false">IF($A12="","",UseCases!C12)</f>
        <v/>
      </c>
      <c r="D12" s="9" t="str">
        <f aca="false">IF($A12="","",UseCases!D12)</f>
        <v/>
      </c>
      <c r="E12" s="9" t="str">
        <f aca="false">IF($A12="","",UseCases!E12)</f>
        <v/>
      </c>
      <c r="F12" s="9" t="str">
        <f aca="false">IF($A12="","",UseCases!F12)</f>
        <v/>
      </c>
      <c r="G12" s="17" t="str">
        <f aca="false">IF($A12="","",UseCases!G12)</f>
        <v/>
      </c>
      <c r="H12" s="9" t="str">
        <f aca="false">IF($A12="","",N(UseCases!H12))</f>
        <v/>
      </c>
      <c r="I12" s="9" t="str">
        <f aca="false">IF($A12="","",N(UseCases!I12))</f>
        <v/>
      </c>
      <c r="J12" s="9" t="str">
        <f aca="false">IF($A12="","",N(UseCases!J12))</f>
        <v/>
      </c>
      <c r="K12" s="9" t="str">
        <f aca="false">IF($A12="","",INDEX(Catalog!$B$4:$B$23,MATCH($B12,Catalog!$A$4:$A$23,0)))</f>
        <v/>
      </c>
      <c r="L12" s="9" t="str">
        <f aca="false">IF($A12="","",INDEX(Catalog!$C$4:$C$23,MATCH($B12,Catalog!$A$4:$A$23,0)))</f>
        <v/>
      </c>
      <c r="M12" s="18" t="str">
        <f aca="false">IF($A12="","",INDEX(Catalog!$H$4:$H$23,MATCH($B12,Catalog!$A$4:$A$23,0))*INDEX(Catalog!$B$35:$B$37,MATCH($C12,Catalog!$A$35:$A$37,0)))</f>
        <v/>
      </c>
      <c r="N12" s="18" t="str">
        <f aca="false">IF($A12="","",INDEX(Catalog!$I$4:$I$23,MATCH($B12,Catalog!$A$4:$A$23,0))*INDEX(Catalog!$B$35:$B$37,MATCH($C12,Catalog!$A$35:$A$37,0)))</f>
        <v/>
      </c>
      <c r="O12" s="18" t="str">
        <f aca="false">IF($A12="","",INDEX(Catalog!$J$4:$J$23,MATCH($B12,Catalog!$A$4:$A$23,0))*INDEX(Catalog!$B$35:$B$37,MATCH($C12,Catalog!$A$35:$A$37,0)))</f>
        <v/>
      </c>
      <c r="P12" s="19" t="str">
        <f aca="false">IF($A12="","",H12*$E12)</f>
        <v/>
      </c>
      <c r="Q12" s="19" t="str">
        <f aca="false">IF($A12="","",I12*$E12)</f>
        <v/>
      </c>
      <c r="R12" s="19" t="str">
        <f aca="false">IF($A12="","",J12*$E12)</f>
        <v/>
      </c>
      <c r="S12" s="19" t="str">
        <f aca="false">IF($A12="","",H12*$F12)</f>
        <v/>
      </c>
      <c r="T12" s="19" t="str">
        <f aca="false">IF($A12="","",I12*$F12)</f>
        <v/>
      </c>
      <c r="U12" s="19" t="str">
        <f aca="false">IF($A12="","",J12*$F12)</f>
        <v/>
      </c>
      <c r="V12" s="19" t="str">
        <f aca="false">IF($A12="","",P12*(1-$G12)+S12*$L12)</f>
        <v/>
      </c>
      <c r="W12" s="19" t="str">
        <f aca="false">IF($A12="","",Q12*(1-$G12)+T12*$L12)</f>
        <v/>
      </c>
      <c r="X12" s="19" t="str">
        <f aca="false">IF($A12="","",R12*(1-$G12)+U12*$L12)</f>
        <v/>
      </c>
      <c r="Y12" s="18" t="str">
        <f aca="false">IF($A12="","",(P12*60*LoadPeriods!$E$4*((1-$G12)*$M12+$G12*$N12)+S12*60*LoadPeriods!$E$4*$O12)/1000000)</f>
        <v/>
      </c>
      <c r="Z12" s="18" t="str">
        <f aca="false">IF($A12="","",(Q12*60*LoadPeriods!$E$5*((1-$G12)*$M12+$G12*$N12)+T12*60*LoadPeriods!$E$5*$O12)/1000000)</f>
        <v/>
      </c>
      <c r="AA12" s="18" t="str">
        <f aca="false">IF($A12="","",(R12*60*LoadPeriods!$E$6*((1-$G12)*$M12+$G12*$N12)+U12*60*LoadPeriods!$E$6*$O12)/1000000)</f>
        <v/>
      </c>
      <c r="AB12" s="18" t="str">
        <f aca="false">IF($A12="","",SUM(Y12:AA12))</f>
        <v/>
      </c>
      <c r="AC12" s="19" t="str">
        <f aca="false">IF($A12="","",SUMPRODUCT(P12:R12,60*TRANSPOSE(LoadPeriods!$E$4:$E$6)))</f>
        <v/>
      </c>
      <c r="AD12" s="19" t="str">
        <f aca="false">IF($A12="","",SUMPRODUCT(S12:U12,60*TRANSPOSE(LoadPeriods!$E$4:$E$6)))</f>
        <v/>
      </c>
      <c r="AE12" s="9" t="str">
        <f aca="false">IF($A12="","",MAX(H12:J12))</f>
        <v/>
      </c>
      <c r="AF12" s="19" t="str">
        <f aca="false">IF($A12="","",MAX(P12+S12,Q12+T12,R12+U12))</f>
        <v/>
      </c>
      <c r="AG12" s="19" t="str">
        <f aca="false">IF($A12="","",MAX(V12:X12))</f>
        <v/>
      </c>
      <c r="AH12" s="20" t="str">
        <f aca="false">IF($A12="","",AG12/K12)</f>
        <v/>
      </c>
      <c r="AI12" s="9" t="str">
        <f aca="false">IF($A12="","",IF(AH12=0,0,IF(AH12&lt;=IF($D12="Regional",INDEX(Catalog!$F$4:$F$23,MATCH($B12,Catalog!$A$4:$A$23,0)),INDEX(Catalog!$D$4:$D$23,MATCH($B12,Catalog!$A$4:$A$23,0))),IF($D12="Regional",INDEX(Catalog!$F$4:$F$23,MATCH($B12,Catalog!$A$4:$A$23,0)),INDEX(Catalog!$D$4:$D$23,MATCH($B12,Catalog!$A$4:$A$23,0))),IF($D12="Regional",INDEX(Catalog!$F$4:$F$23,MATCH($B12,Catalog!$A$4:$A$23,0)),INDEX(Catalog!$D$4:$D$23,MATCH($B12,Catalog!$A$4:$A$23,0)))+CEILING(AH12-IF($D12="Regional",INDEX(Catalog!$F$4:$F$23,MATCH($B12,Catalog!$A$4:$A$23,0)),INDEX(Catalog!$D$4:$D$23,MATCH($B12,Catalog!$A$4:$A$23,0))),IF($D12="Regional",INDEX(Catalog!$G$4:$G$23,MATCH($B12,Catalog!$A$4:$A$23,0)),INDEX(Catalog!$E$4:$E$23,MATCH($B12,Catalog!$A$4:$A$23,0)))))))</f>
        <v/>
      </c>
    </row>
    <row r="13" customFormat="false" ht="15" hidden="false" customHeight="false" outlineLevel="0" collapsed="false">
      <c r="A13" s="9" t="str">
        <f aca="false">IF(UseCases!A13="","",UseCases!A13)</f>
        <v/>
      </c>
      <c r="B13" s="9" t="str">
        <f aca="false">IF($A13="","",UseCases!B13)</f>
        <v/>
      </c>
      <c r="C13" s="9" t="str">
        <f aca="false">IF($A13="","",UseCases!C13)</f>
        <v/>
      </c>
      <c r="D13" s="9" t="str">
        <f aca="false">IF($A13="","",UseCases!D13)</f>
        <v/>
      </c>
      <c r="E13" s="9" t="str">
        <f aca="false">IF($A13="","",UseCases!E13)</f>
        <v/>
      </c>
      <c r="F13" s="9" t="str">
        <f aca="false">IF($A13="","",UseCases!F13)</f>
        <v/>
      </c>
      <c r="G13" s="17" t="str">
        <f aca="false">IF($A13="","",UseCases!G13)</f>
        <v/>
      </c>
      <c r="H13" s="9" t="str">
        <f aca="false">IF($A13="","",N(UseCases!H13))</f>
        <v/>
      </c>
      <c r="I13" s="9" t="str">
        <f aca="false">IF($A13="","",N(UseCases!I13))</f>
        <v/>
      </c>
      <c r="J13" s="9" t="str">
        <f aca="false">IF($A13="","",N(UseCases!J13))</f>
        <v/>
      </c>
      <c r="K13" s="9" t="str">
        <f aca="false">IF($A13="","",INDEX(Catalog!$B$4:$B$23,MATCH($B13,Catalog!$A$4:$A$23,0)))</f>
        <v/>
      </c>
      <c r="L13" s="9" t="str">
        <f aca="false">IF($A13="","",INDEX(Catalog!$C$4:$C$23,MATCH($B13,Catalog!$A$4:$A$23,0)))</f>
        <v/>
      </c>
      <c r="M13" s="18" t="str">
        <f aca="false">IF($A13="","",INDEX(Catalog!$H$4:$H$23,MATCH($B13,Catalog!$A$4:$A$23,0))*INDEX(Catalog!$B$35:$B$37,MATCH($C13,Catalog!$A$35:$A$37,0)))</f>
        <v/>
      </c>
      <c r="N13" s="18" t="str">
        <f aca="false">IF($A13="","",INDEX(Catalog!$I$4:$I$23,MATCH($B13,Catalog!$A$4:$A$23,0))*INDEX(Catalog!$B$35:$B$37,MATCH($C13,Catalog!$A$35:$A$37,0)))</f>
        <v/>
      </c>
      <c r="O13" s="18" t="str">
        <f aca="false">IF($A13="","",INDEX(Catalog!$J$4:$J$23,MATCH($B13,Catalog!$A$4:$A$23,0))*INDEX(Catalog!$B$35:$B$37,MATCH($C13,Catalog!$A$35:$A$37,0)))</f>
        <v/>
      </c>
      <c r="P13" s="19" t="str">
        <f aca="false">IF($A13="","",H13*$E13)</f>
        <v/>
      </c>
      <c r="Q13" s="19" t="str">
        <f aca="false">IF($A13="","",I13*$E13)</f>
        <v/>
      </c>
      <c r="R13" s="19" t="str">
        <f aca="false">IF($A13="","",J13*$E13)</f>
        <v/>
      </c>
      <c r="S13" s="19" t="str">
        <f aca="false">IF($A13="","",H13*$F13)</f>
        <v/>
      </c>
      <c r="T13" s="19" t="str">
        <f aca="false">IF($A13="","",I13*$F13)</f>
        <v/>
      </c>
      <c r="U13" s="19" t="str">
        <f aca="false">IF($A13="","",J13*$F13)</f>
        <v/>
      </c>
      <c r="V13" s="19" t="str">
        <f aca="false">IF($A13="","",P13*(1-$G13)+S13*$L13)</f>
        <v/>
      </c>
      <c r="W13" s="19" t="str">
        <f aca="false">IF($A13="","",Q13*(1-$G13)+T13*$L13)</f>
        <v/>
      </c>
      <c r="X13" s="19" t="str">
        <f aca="false">IF($A13="","",R13*(1-$G13)+U13*$L13)</f>
        <v/>
      </c>
      <c r="Y13" s="18" t="str">
        <f aca="false">IF($A13="","",(P13*60*LoadPeriods!$E$4*((1-$G13)*$M13+$G13*$N13)+S13*60*LoadPeriods!$E$4*$O13)/1000000)</f>
        <v/>
      </c>
      <c r="Z13" s="18" t="str">
        <f aca="false">IF($A13="","",(Q13*60*LoadPeriods!$E$5*((1-$G13)*$M13+$G13*$N13)+T13*60*LoadPeriods!$E$5*$O13)/1000000)</f>
        <v/>
      </c>
      <c r="AA13" s="18" t="str">
        <f aca="false">IF($A13="","",(R13*60*LoadPeriods!$E$6*((1-$G13)*$M13+$G13*$N13)+U13*60*LoadPeriods!$E$6*$O13)/1000000)</f>
        <v/>
      </c>
      <c r="AB13" s="18" t="str">
        <f aca="false">IF($A13="","",SUM(Y13:AA13))</f>
        <v/>
      </c>
      <c r="AC13" s="19" t="str">
        <f aca="false">IF($A13="","",SUMPRODUCT(P13:R13,60*TRANSPOSE(LoadPeriods!$E$4:$E$6)))</f>
        <v/>
      </c>
      <c r="AD13" s="19" t="str">
        <f aca="false">IF($A13="","",SUMPRODUCT(S13:U13,60*TRANSPOSE(LoadPeriods!$E$4:$E$6)))</f>
        <v/>
      </c>
      <c r="AE13" s="9" t="str">
        <f aca="false">IF($A13="","",MAX(H13:J13))</f>
        <v/>
      </c>
      <c r="AF13" s="19" t="str">
        <f aca="false">IF($A13="","",MAX(P13+S13,Q13+T13,R13+U13))</f>
        <v/>
      </c>
      <c r="AG13" s="19" t="str">
        <f aca="false">IF($A13="","",MAX(V13:X13))</f>
        <v/>
      </c>
      <c r="AH13" s="20" t="str">
        <f aca="false">IF($A13="","",AG13/K13)</f>
        <v/>
      </c>
      <c r="AI13" s="9" t="str">
        <f aca="false">IF($A13="","",IF(AH13=0,0,IF(AH13&lt;=IF($D13="Regional",INDEX(Catalog!$F$4:$F$23,MATCH($B13,Catalog!$A$4:$A$23,0)),INDEX(Catalog!$D$4:$D$23,MATCH($B13,Catalog!$A$4:$A$23,0))),IF($D13="Regional",INDEX(Catalog!$F$4:$F$23,MATCH($B13,Catalog!$A$4:$A$23,0)),INDEX(Catalog!$D$4:$D$23,MATCH($B13,Catalog!$A$4:$A$23,0))),IF($D13="Regional",INDEX(Catalog!$F$4:$F$23,MATCH($B13,Catalog!$A$4:$A$23,0)),INDEX(Catalog!$D$4:$D$23,MATCH($B13,Catalog!$A$4:$A$23,0)))+CEILING(AH13-IF($D13="Regional",INDEX(Catalog!$F$4:$F$23,MATCH($B13,Catalog!$A$4:$A$23,0)),INDEX(Catalog!$D$4:$D$23,MATCH($B13,Catalog!$A$4:$A$23,0))),IF($D13="Regional",INDEX(Catalog!$G$4:$G$23,MATCH($B13,Catalog!$A$4:$A$23,0)),INDEX(Catalog!$E$4:$E$23,MATCH($B13,Catalog!$A$4:$A$23,0)))))))</f>
        <v/>
      </c>
    </row>
    <row r="14" customFormat="false" ht="15" hidden="false" customHeight="false" outlineLevel="0" collapsed="false">
      <c r="A14" s="9" t="str">
        <f aca="false">IF(UseCases!A14="","",UseCases!A14)</f>
        <v/>
      </c>
      <c r="B14" s="9" t="str">
        <f aca="false">IF($A14="","",UseCases!B14)</f>
        <v/>
      </c>
      <c r="C14" s="9" t="str">
        <f aca="false">IF($A14="","",UseCases!C14)</f>
        <v/>
      </c>
      <c r="D14" s="9" t="str">
        <f aca="false">IF($A14="","",UseCases!D14)</f>
        <v/>
      </c>
      <c r="E14" s="9" t="str">
        <f aca="false">IF($A14="","",UseCases!E14)</f>
        <v/>
      </c>
      <c r="F14" s="9" t="str">
        <f aca="false">IF($A14="","",UseCases!F14)</f>
        <v/>
      </c>
      <c r="G14" s="17" t="str">
        <f aca="false">IF($A14="","",UseCases!G14)</f>
        <v/>
      </c>
      <c r="H14" s="9" t="str">
        <f aca="false">IF($A14="","",N(UseCases!H14))</f>
        <v/>
      </c>
      <c r="I14" s="9" t="str">
        <f aca="false">IF($A14="","",N(UseCases!I14))</f>
        <v/>
      </c>
      <c r="J14" s="9" t="str">
        <f aca="false">IF($A14="","",N(UseCases!J14))</f>
        <v/>
      </c>
      <c r="K14" s="9" t="str">
        <f aca="false">IF($A14="","",INDEX(Catalog!$B$4:$B$23,MATCH($B14,Catalog!$A$4:$A$23,0)))</f>
        <v/>
      </c>
      <c r="L14" s="9" t="str">
        <f aca="false">IF($A14="","",INDEX(Catalog!$C$4:$C$23,MATCH($B14,Catalog!$A$4:$A$23,0)))</f>
        <v/>
      </c>
      <c r="M14" s="18" t="str">
        <f aca="false">IF($A14="","",INDEX(Catalog!$H$4:$H$23,MATCH($B14,Catalog!$A$4:$A$23,0))*INDEX(Catalog!$B$35:$B$37,MATCH($C14,Catalog!$A$35:$A$37,0)))</f>
        <v/>
      </c>
      <c r="N14" s="18" t="str">
        <f aca="false">IF($A14="","",INDEX(Catalog!$I$4:$I$23,MATCH($B14,Catalog!$A$4:$A$23,0))*INDEX(Catalog!$B$35:$B$37,MATCH($C14,Catalog!$A$35:$A$37,0)))</f>
        <v/>
      </c>
      <c r="O14" s="18" t="str">
        <f aca="false">IF($A14="","",INDEX(Catalog!$J$4:$J$23,MATCH($B14,Catalog!$A$4:$A$23,0))*INDEX(Catalog!$B$35:$B$37,MATCH($C14,Catalog!$A$35:$A$37,0)))</f>
        <v/>
      </c>
      <c r="P14" s="19" t="str">
        <f aca="false">IF($A14="","",H14*$E14)</f>
        <v/>
      </c>
      <c r="Q14" s="19" t="str">
        <f aca="false">IF($A14="","",I14*$E14)</f>
        <v/>
      </c>
      <c r="R14" s="19" t="str">
        <f aca="false">IF($A14="","",J14*$E14)</f>
        <v/>
      </c>
      <c r="S14" s="19" t="str">
        <f aca="false">IF($A14="","",H14*$F14)</f>
        <v/>
      </c>
      <c r="T14" s="19" t="str">
        <f aca="false">IF($A14="","",I14*$F14)</f>
        <v/>
      </c>
      <c r="U14" s="19" t="str">
        <f aca="false">IF($A14="","",J14*$F14)</f>
        <v/>
      </c>
      <c r="V14" s="19" t="str">
        <f aca="false">IF($A14="","",P14*(1-$G14)+S14*$L14)</f>
        <v/>
      </c>
      <c r="W14" s="19" t="str">
        <f aca="false">IF($A14="","",Q14*(1-$G14)+T14*$L14)</f>
        <v/>
      </c>
      <c r="X14" s="19" t="str">
        <f aca="false">IF($A14="","",R14*(1-$G14)+U14*$L14)</f>
        <v/>
      </c>
      <c r="Y14" s="18" t="str">
        <f aca="false">IF($A14="","",(P14*60*LoadPeriods!$E$4*((1-$G14)*$M14+$G14*$N14)+S14*60*LoadPeriods!$E$4*$O14)/1000000)</f>
        <v/>
      </c>
      <c r="Z14" s="18" t="str">
        <f aca="false">IF($A14="","",(Q14*60*LoadPeriods!$E$5*((1-$G14)*$M14+$G14*$N14)+T14*60*LoadPeriods!$E$5*$O14)/1000000)</f>
        <v/>
      </c>
      <c r="AA14" s="18" t="str">
        <f aca="false">IF($A14="","",(R14*60*LoadPeriods!$E$6*((1-$G14)*$M14+$G14*$N14)+U14*60*LoadPeriods!$E$6*$O14)/1000000)</f>
        <v/>
      </c>
      <c r="AB14" s="18" t="str">
        <f aca="false">IF($A14="","",SUM(Y14:AA14))</f>
        <v/>
      </c>
      <c r="AC14" s="19" t="str">
        <f aca="false">IF($A14="","",SUMPRODUCT(P14:R14,60*TRANSPOSE(LoadPeriods!$E$4:$E$6)))</f>
        <v/>
      </c>
      <c r="AD14" s="19" t="str">
        <f aca="false">IF($A14="","",SUMPRODUCT(S14:U14,60*TRANSPOSE(LoadPeriods!$E$4:$E$6)))</f>
        <v/>
      </c>
      <c r="AE14" s="9" t="str">
        <f aca="false">IF($A14="","",MAX(H14:J14))</f>
        <v/>
      </c>
      <c r="AF14" s="19" t="str">
        <f aca="false">IF($A14="","",MAX(P14+S14,Q14+T14,R14+U14))</f>
        <v/>
      </c>
      <c r="AG14" s="19" t="str">
        <f aca="false">IF($A14="","",MAX(V14:X14))</f>
        <v/>
      </c>
      <c r="AH14" s="20" t="str">
        <f aca="false">IF($A14="","",AG14/K14)</f>
        <v/>
      </c>
      <c r="AI14" s="9" t="str">
        <f aca="false">IF($A14="","",IF(AH14=0,0,IF(AH14&lt;=IF($D14="Regional",INDEX(Catalog!$F$4:$F$23,MATCH($B14,Catalog!$A$4:$A$23,0)),INDEX(Catalog!$D$4:$D$23,MATCH($B14,Catalog!$A$4:$A$23,0))),IF($D14="Regional",INDEX(Catalog!$F$4:$F$23,MATCH($B14,Catalog!$A$4:$A$23,0)),INDEX(Catalog!$D$4:$D$23,MATCH($B14,Catalog!$A$4:$A$23,0))),IF($D14="Regional",INDEX(Catalog!$F$4:$F$23,MATCH($B14,Catalog!$A$4:$A$23,0)),INDEX(Catalog!$D$4:$D$23,MATCH($B14,Catalog!$A$4:$A$23,0)))+CEILING(AH14-IF($D14="Regional",INDEX(Catalog!$F$4:$F$23,MATCH($B14,Catalog!$A$4:$A$23,0)),INDEX(Catalog!$D$4:$D$23,MATCH($B14,Catalog!$A$4:$A$23,0))),IF($D14="Regional",INDEX(Catalog!$G$4:$G$23,MATCH($B14,Catalog!$A$4:$A$23,0)),INDEX(Catalog!$E$4:$E$23,MATCH($B14,Catalog!$A$4:$A$23,0)))))))</f>
        <v/>
      </c>
    </row>
    <row r="15" customFormat="false" ht="15" hidden="false" customHeight="false" outlineLevel="0" collapsed="false">
      <c r="A15" s="9" t="str">
        <f aca="false">IF(UseCases!A15="","",UseCases!A15)</f>
        <v/>
      </c>
      <c r="B15" s="9" t="str">
        <f aca="false">IF($A15="","",UseCases!B15)</f>
        <v/>
      </c>
      <c r="C15" s="9" t="str">
        <f aca="false">IF($A15="","",UseCases!C15)</f>
        <v/>
      </c>
      <c r="D15" s="9" t="str">
        <f aca="false">IF($A15="","",UseCases!D15)</f>
        <v/>
      </c>
      <c r="E15" s="9" t="str">
        <f aca="false">IF($A15="","",UseCases!E15)</f>
        <v/>
      </c>
      <c r="F15" s="9" t="str">
        <f aca="false">IF($A15="","",UseCases!F15)</f>
        <v/>
      </c>
      <c r="G15" s="17" t="str">
        <f aca="false">IF($A15="","",UseCases!G15)</f>
        <v/>
      </c>
      <c r="H15" s="9" t="str">
        <f aca="false">IF($A15="","",N(UseCases!H15))</f>
        <v/>
      </c>
      <c r="I15" s="9" t="str">
        <f aca="false">IF($A15="","",N(UseCases!I15))</f>
        <v/>
      </c>
      <c r="J15" s="9" t="str">
        <f aca="false">IF($A15="","",N(UseCases!J15))</f>
        <v/>
      </c>
      <c r="K15" s="9" t="str">
        <f aca="false">IF($A15="","",INDEX(Catalog!$B$4:$B$23,MATCH($B15,Catalog!$A$4:$A$23,0)))</f>
        <v/>
      </c>
      <c r="L15" s="9" t="str">
        <f aca="false">IF($A15="","",INDEX(Catalog!$C$4:$C$23,MATCH($B15,Catalog!$A$4:$A$23,0)))</f>
        <v/>
      </c>
      <c r="M15" s="18" t="str">
        <f aca="false">IF($A15="","",INDEX(Catalog!$H$4:$H$23,MATCH($B15,Catalog!$A$4:$A$23,0))*INDEX(Catalog!$B$35:$B$37,MATCH($C15,Catalog!$A$35:$A$37,0)))</f>
        <v/>
      </c>
      <c r="N15" s="18" t="str">
        <f aca="false">IF($A15="","",INDEX(Catalog!$I$4:$I$23,MATCH($B15,Catalog!$A$4:$A$23,0))*INDEX(Catalog!$B$35:$B$37,MATCH($C15,Catalog!$A$35:$A$37,0)))</f>
        <v/>
      </c>
      <c r="O15" s="18" t="str">
        <f aca="false">IF($A15="","",INDEX(Catalog!$J$4:$J$23,MATCH($B15,Catalog!$A$4:$A$23,0))*INDEX(Catalog!$B$35:$B$37,MATCH($C15,Catalog!$A$35:$A$37,0)))</f>
        <v/>
      </c>
      <c r="P15" s="19" t="str">
        <f aca="false">IF($A15="","",H15*$E15)</f>
        <v/>
      </c>
      <c r="Q15" s="19" t="str">
        <f aca="false">IF($A15="","",I15*$E15)</f>
        <v/>
      </c>
      <c r="R15" s="19" t="str">
        <f aca="false">IF($A15="","",J15*$E15)</f>
        <v/>
      </c>
      <c r="S15" s="19" t="str">
        <f aca="false">IF($A15="","",H15*$F15)</f>
        <v/>
      </c>
      <c r="T15" s="19" t="str">
        <f aca="false">IF($A15="","",I15*$F15)</f>
        <v/>
      </c>
      <c r="U15" s="19" t="str">
        <f aca="false">IF($A15="","",J15*$F15)</f>
        <v/>
      </c>
      <c r="V15" s="19" t="str">
        <f aca="false">IF($A15="","",P15*(1-$G15)+S15*$L15)</f>
        <v/>
      </c>
      <c r="W15" s="19" t="str">
        <f aca="false">IF($A15="","",Q15*(1-$G15)+T15*$L15)</f>
        <v/>
      </c>
      <c r="X15" s="19" t="str">
        <f aca="false">IF($A15="","",R15*(1-$G15)+U15*$L15)</f>
        <v/>
      </c>
      <c r="Y15" s="18" t="str">
        <f aca="false">IF($A15="","",(P15*60*LoadPeriods!$E$4*((1-$G15)*$M15+$G15*$N15)+S15*60*LoadPeriods!$E$4*$O15)/1000000)</f>
        <v/>
      </c>
      <c r="Z15" s="18" t="str">
        <f aca="false">IF($A15="","",(Q15*60*LoadPeriods!$E$5*((1-$G15)*$M15+$G15*$N15)+T15*60*LoadPeriods!$E$5*$O15)/1000000)</f>
        <v/>
      </c>
      <c r="AA15" s="18" t="str">
        <f aca="false">IF($A15="","",(R15*60*LoadPeriods!$E$6*((1-$G15)*$M15+$G15*$N15)+U15*60*LoadPeriods!$E$6*$O15)/1000000)</f>
        <v/>
      </c>
      <c r="AB15" s="18" t="str">
        <f aca="false">IF($A15="","",SUM(Y15:AA15))</f>
        <v/>
      </c>
      <c r="AC15" s="19" t="str">
        <f aca="false">IF($A15="","",SUMPRODUCT(P15:R15,60*TRANSPOSE(LoadPeriods!$E$4:$E$6)))</f>
        <v/>
      </c>
      <c r="AD15" s="19" t="str">
        <f aca="false">IF($A15="","",SUMPRODUCT(S15:U15,60*TRANSPOSE(LoadPeriods!$E$4:$E$6)))</f>
        <v/>
      </c>
      <c r="AE15" s="9" t="str">
        <f aca="false">IF($A15="","",MAX(H15:J15))</f>
        <v/>
      </c>
      <c r="AF15" s="19" t="str">
        <f aca="false">IF($A15="","",MAX(P15+S15,Q15+T15,R15+U15))</f>
        <v/>
      </c>
      <c r="AG15" s="19" t="str">
        <f aca="false">IF($A15="","",MAX(V15:X15))</f>
        <v/>
      </c>
      <c r="AH15" s="20" t="str">
        <f aca="false">IF($A15="","",AG15/K15)</f>
        <v/>
      </c>
      <c r="AI15" s="9" t="str">
        <f aca="false">IF($A15="","",IF(AH15=0,0,IF(AH15&lt;=IF($D15="Regional",INDEX(Catalog!$F$4:$F$23,MATCH($B15,Catalog!$A$4:$A$23,0)),INDEX(Catalog!$D$4:$D$23,MATCH($B15,Catalog!$A$4:$A$23,0))),IF($D15="Regional",INDEX(Catalog!$F$4:$F$23,MATCH($B15,Catalog!$A$4:$A$23,0)),INDEX(Catalog!$D$4:$D$23,MATCH($B15,Catalog!$A$4:$A$23,0))),IF($D15="Regional",INDEX(Catalog!$F$4:$F$23,MATCH($B15,Catalog!$A$4:$A$23,0)),INDEX(Catalog!$D$4:$D$23,MATCH($B15,Catalog!$A$4:$A$23,0)))+CEILING(AH15-IF($D15="Regional",INDEX(Catalog!$F$4:$F$23,MATCH($B15,Catalog!$A$4:$A$23,0)),INDEX(Catalog!$D$4:$D$23,MATCH($B15,Catalog!$A$4:$A$23,0))),IF($D15="Regional",INDEX(Catalog!$G$4:$G$23,MATCH($B15,Catalog!$A$4:$A$23,0)),INDEX(Catalog!$E$4:$E$23,MATCH($B15,Catalog!$A$4:$A$23,0)))))))</f>
        <v/>
      </c>
    </row>
    <row r="16" customFormat="false" ht="15" hidden="false" customHeight="false" outlineLevel="0" collapsed="false">
      <c r="A16" s="9" t="str">
        <f aca="false">IF(UseCases!A16="","",UseCases!A16)</f>
        <v/>
      </c>
      <c r="B16" s="9" t="str">
        <f aca="false">IF($A16="","",UseCases!B16)</f>
        <v/>
      </c>
      <c r="C16" s="9" t="str">
        <f aca="false">IF($A16="","",UseCases!C16)</f>
        <v/>
      </c>
      <c r="D16" s="9" t="str">
        <f aca="false">IF($A16="","",UseCases!D16)</f>
        <v/>
      </c>
      <c r="E16" s="9" t="str">
        <f aca="false">IF($A16="","",UseCases!E16)</f>
        <v/>
      </c>
      <c r="F16" s="9" t="str">
        <f aca="false">IF($A16="","",UseCases!F16)</f>
        <v/>
      </c>
      <c r="G16" s="17" t="str">
        <f aca="false">IF($A16="","",UseCases!G16)</f>
        <v/>
      </c>
      <c r="H16" s="9" t="str">
        <f aca="false">IF($A16="","",N(UseCases!H16))</f>
        <v/>
      </c>
      <c r="I16" s="9" t="str">
        <f aca="false">IF($A16="","",N(UseCases!I16))</f>
        <v/>
      </c>
      <c r="J16" s="9" t="str">
        <f aca="false">IF($A16="","",N(UseCases!J16))</f>
        <v/>
      </c>
      <c r="K16" s="9" t="str">
        <f aca="false">IF($A16="","",INDEX(Catalog!$B$4:$B$23,MATCH($B16,Catalog!$A$4:$A$23,0)))</f>
        <v/>
      </c>
      <c r="L16" s="9" t="str">
        <f aca="false">IF($A16="","",INDEX(Catalog!$C$4:$C$23,MATCH($B16,Catalog!$A$4:$A$23,0)))</f>
        <v/>
      </c>
      <c r="M16" s="18" t="str">
        <f aca="false">IF($A16="","",INDEX(Catalog!$H$4:$H$23,MATCH($B16,Catalog!$A$4:$A$23,0))*INDEX(Catalog!$B$35:$B$37,MATCH($C16,Catalog!$A$35:$A$37,0)))</f>
        <v/>
      </c>
      <c r="N16" s="18" t="str">
        <f aca="false">IF($A16="","",INDEX(Catalog!$I$4:$I$23,MATCH($B16,Catalog!$A$4:$A$23,0))*INDEX(Catalog!$B$35:$B$37,MATCH($C16,Catalog!$A$35:$A$37,0)))</f>
        <v/>
      </c>
      <c r="O16" s="18" t="str">
        <f aca="false">IF($A16="","",INDEX(Catalog!$J$4:$J$23,MATCH($B16,Catalog!$A$4:$A$23,0))*INDEX(Catalog!$B$35:$B$37,MATCH($C16,Catalog!$A$35:$A$37,0)))</f>
        <v/>
      </c>
      <c r="P16" s="19" t="str">
        <f aca="false">IF($A16="","",H16*$E16)</f>
        <v/>
      </c>
      <c r="Q16" s="19" t="str">
        <f aca="false">IF($A16="","",I16*$E16)</f>
        <v/>
      </c>
      <c r="R16" s="19" t="str">
        <f aca="false">IF($A16="","",J16*$E16)</f>
        <v/>
      </c>
      <c r="S16" s="19" t="str">
        <f aca="false">IF($A16="","",H16*$F16)</f>
        <v/>
      </c>
      <c r="T16" s="19" t="str">
        <f aca="false">IF($A16="","",I16*$F16)</f>
        <v/>
      </c>
      <c r="U16" s="19" t="str">
        <f aca="false">IF($A16="","",J16*$F16)</f>
        <v/>
      </c>
      <c r="V16" s="19" t="str">
        <f aca="false">IF($A16="","",P16*(1-$G16)+S16*$L16)</f>
        <v/>
      </c>
      <c r="W16" s="19" t="str">
        <f aca="false">IF($A16="","",Q16*(1-$G16)+T16*$L16)</f>
        <v/>
      </c>
      <c r="X16" s="19" t="str">
        <f aca="false">IF($A16="","",R16*(1-$G16)+U16*$L16)</f>
        <v/>
      </c>
      <c r="Y16" s="18" t="str">
        <f aca="false">IF($A16="","",(P16*60*LoadPeriods!$E$4*((1-$G16)*$M16+$G16*$N16)+S16*60*LoadPeriods!$E$4*$O16)/1000000)</f>
        <v/>
      </c>
      <c r="Z16" s="18" t="str">
        <f aca="false">IF($A16="","",(Q16*60*LoadPeriods!$E$5*((1-$G16)*$M16+$G16*$N16)+T16*60*LoadPeriods!$E$5*$O16)/1000000)</f>
        <v/>
      </c>
      <c r="AA16" s="18" t="str">
        <f aca="false">IF($A16="","",(R16*60*LoadPeriods!$E$6*((1-$G16)*$M16+$G16*$N16)+U16*60*LoadPeriods!$E$6*$O16)/1000000)</f>
        <v/>
      </c>
      <c r="AB16" s="18" t="str">
        <f aca="false">IF($A16="","",SUM(Y16:AA16))</f>
        <v/>
      </c>
      <c r="AC16" s="19" t="str">
        <f aca="false">IF($A16="","",SUMPRODUCT(P16:R16,60*TRANSPOSE(LoadPeriods!$E$4:$E$6)))</f>
        <v/>
      </c>
      <c r="AD16" s="19" t="str">
        <f aca="false">IF($A16="","",SUMPRODUCT(S16:U16,60*TRANSPOSE(LoadPeriods!$E$4:$E$6)))</f>
        <v/>
      </c>
      <c r="AE16" s="9" t="str">
        <f aca="false">IF($A16="","",MAX(H16:J16))</f>
        <v/>
      </c>
      <c r="AF16" s="19" t="str">
        <f aca="false">IF($A16="","",MAX(P16+S16,Q16+T16,R16+U16))</f>
        <v/>
      </c>
      <c r="AG16" s="19" t="str">
        <f aca="false">IF($A16="","",MAX(V16:X16))</f>
        <v/>
      </c>
      <c r="AH16" s="20" t="str">
        <f aca="false">IF($A16="","",AG16/K16)</f>
        <v/>
      </c>
      <c r="AI16" s="9" t="str">
        <f aca="false">IF($A16="","",IF(AH16=0,0,IF(AH16&lt;=IF($D16="Regional",INDEX(Catalog!$F$4:$F$23,MATCH($B16,Catalog!$A$4:$A$23,0)),INDEX(Catalog!$D$4:$D$23,MATCH($B16,Catalog!$A$4:$A$23,0))),IF($D16="Regional",INDEX(Catalog!$F$4:$F$23,MATCH($B16,Catalog!$A$4:$A$23,0)),INDEX(Catalog!$D$4:$D$23,MATCH($B16,Catalog!$A$4:$A$23,0))),IF($D16="Regional",INDEX(Catalog!$F$4:$F$23,MATCH($B16,Catalog!$A$4:$A$23,0)),INDEX(Catalog!$D$4:$D$23,MATCH($B16,Catalog!$A$4:$A$23,0)))+CEILING(AH16-IF($D16="Regional",INDEX(Catalog!$F$4:$F$23,MATCH($B16,Catalog!$A$4:$A$23,0)),INDEX(Catalog!$D$4:$D$23,MATCH($B16,Catalog!$A$4:$A$23,0))),IF($D16="Regional",INDEX(Catalog!$G$4:$G$23,MATCH($B16,Catalog!$A$4:$A$23,0)),INDEX(Catalog!$E$4:$E$23,MATCH($B16,Catalog!$A$4:$A$23,0)))))))</f>
        <v/>
      </c>
    </row>
    <row r="17" customFormat="false" ht="15" hidden="false" customHeight="false" outlineLevel="0" collapsed="false">
      <c r="A17" s="9" t="str">
        <f aca="false">IF(UseCases!A17="","",UseCases!A17)</f>
        <v/>
      </c>
      <c r="B17" s="9" t="str">
        <f aca="false">IF($A17="","",UseCases!B17)</f>
        <v/>
      </c>
      <c r="C17" s="9" t="str">
        <f aca="false">IF($A17="","",UseCases!C17)</f>
        <v/>
      </c>
      <c r="D17" s="9" t="str">
        <f aca="false">IF($A17="","",UseCases!D17)</f>
        <v/>
      </c>
      <c r="E17" s="9" t="str">
        <f aca="false">IF($A17="","",UseCases!E17)</f>
        <v/>
      </c>
      <c r="F17" s="9" t="str">
        <f aca="false">IF($A17="","",UseCases!F17)</f>
        <v/>
      </c>
      <c r="G17" s="17" t="str">
        <f aca="false">IF($A17="","",UseCases!G17)</f>
        <v/>
      </c>
      <c r="H17" s="9" t="str">
        <f aca="false">IF($A17="","",N(UseCases!H17))</f>
        <v/>
      </c>
      <c r="I17" s="9" t="str">
        <f aca="false">IF($A17="","",N(UseCases!I17))</f>
        <v/>
      </c>
      <c r="J17" s="9" t="str">
        <f aca="false">IF($A17="","",N(UseCases!J17))</f>
        <v/>
      </c>
      <c r="K17" s="9" t="str">
        <f aca="false">IF($A17="","",INDEX(Catalog!$B$4:$B$23,MATCH($B17,Catalog!$A$4:$A$23,0)))</f>
        <v/>
      </c>
      <c r="L17" s="9" t="str">
        <f aca="false">IF($A17="","",INDEX(Catalog!$C$4:$C$23,MATCH($B17,Catalog!$A$4:$A$23,0)))</f>
        <v/>
      </c>
      <c r="M17" s="18" t="str">
        <f aca="false">IF($A17="","",INDEX(Catalog!$H$4:$H$23,MATCH($B17,Catalog!$A$4:$A$23,0))*INDEX(Catalog!$B$35:$B$37,MATCH($C17,Catalog!$A$35:$A$37,0)))</f>
        <v/>
      </c>
      <c r="N17" s="18" t="str">
        <f aca="false">IF($A17="","",INDEX(Catalog!$I$4:$I$23,MATCH($B17,Catalog!$A$4:$A$23,0))*INDEX(Catalog!$B$35:$B$37,MATCH($C17,Catalog!$A$35:$A$37,0)))</f>
        <v/>
      </c>
      <c r="O17" s="18" t="str">
        <f aca="false">IF($A17="","",INDEX(Catalog!$J$4:$J$23,MATCH($B17,Catalog!$A$4:$A$23,0))*INDEX(Catalog!$B$35:$B$37,MATCH($C17,Catalog!$A$35:$A$37,0)))</f>
        <v/>
      </c>
      <c r="P17" s="19" t="str">
        <f aca="false">IF($A17="","",H17*$E17)</f>
        <v/>
      </c>
      <c r="Q17" s="19" t="str">
        <f aca="false">IF($A17="","",I17*$E17)</f>
        <v/>
      </c>
      <c r="R17" s="19" t="str">
        <f aca="false">IF($A17="","",J17*$E17)</f>
        <v/>
      </c>
      <c r="S17" s="19" t="str">
        <f aca="false">IF($A17="","",H17*$F17)</f>
        <v/>
      </c>
      <c r="T17" s="19" t="str">
        <f aca="false">IF($A17="","",I17*$F17)</f>
        <v/>
      </c>
      <c r="U17" s="19" t="str">
        <f aca="false">IF($A17="","",J17*$F17)</f>
        <v/>
      </c>
      <c r="V17" s="19" t="str">
        <f aca="false">IF($A17="","",P17*(1-$G17)+S17*$L17)</f>
        <v/>
      </c>
      <c r="W17" s="19" t="str">
        <f aca="false">IF($A17="","",Q17*(1-$G17)+T17*$L17)</f>
        <v/>
      </c>
      <c r="X17" s="19" t="str">
        <f aca="false">IF($A17="","",R17*(1-$G17)+U17*$L17)</f>
        <v/>
      </c>
      <c r="Y17" s="18" t="str">
        <f aca="false">IF($A17="","",(P17*60*LoadPeriods!$E$4*((1-$G17)*$M17+$G17*$N17)+S17*60*LoadPeriods!$E$4*$O17)/1000000)</f>
        <v/>
      </c>
      <c r="Z17" s="18" t="str">
        <f aca="false">IF($A17="","",(Q17*60*LoadPeriods!$E$5*((1-$G17)*$M17+$G17*$N17)+T17*60*LoadPeriods!$E$5*$O17)/1000000)</f>
        <v/>
      </c>
      <c r="AA17" s="18" t="str">
        <f aca="false">IF($A17="","",(R17*60*LoadPeriods!$E$6*((1-$G17)*$M17+$G17*$N17)+U17*60*LoadPeriods!$E$6*$O17)/1000000)</f>
        <v/>
      </c>
      <c r="AB17" s="18" t="str">
        <f aca="false">IF($A17="","",SUM(Y17:AA17))</f>
        <v/>
      </c>
      <c r="AC17" s="19" t="str">
        <f aca="false">IF($A17="","",SUMPRODUCT(P17:R17,60*TRANSPOSE(LoadPeriods!$E$4:$E$6)))</f>
        <v/>
      </c>
      <c r="AD17" s="19" t="str">
        <f aca="false">IF($A17="","",SUMPRODUCT(S17:U17,60*TRANSPOSE(LoadPeriods!$E$4:$E$6)))</f>
        <v/>
      </c>
      <c r="AE17" s="9" t="str">
        <f aca="false">IF($A17="","",MAX(H17:J17))</f>
        <v/>
      </c>
      <c r="AF17" s="19" t="str">
        <f aca="false">IF($A17="","",MAX(P17+S17,Q17+T17,R17+U17))</f>
        <v/>
      </c>
      <c r="AG17" s="19" t="str">
        <f aca="false">IF($A17="","",MAX(V17:X17))</f>
        <v/>
      </c>
      <c r="AH17" s="20" t="str">
        <f aca="false">IF($A17="","",AG17/K17)</f>
        <v/>
      </c>
      <c r="AI17" s="9" t="str">
        <f aca="false">IF($A17="","",IF(AH17=0,0,IF(AH17&lt;=IF($D17="Regional",INDEX(Catalog!$F$4:$F$23,MATCH($B17,Catalog!$A$4:$A$23,0)),INDEX(Catalog!$D$4:$D$23,MATCH($B17,Catalog!$A$4:$A$23,0))),IF($D17="Regional",INDEX(Catalog!$F$4:$F$23,MATCH($B17,Catalog!$A$4:$A$23,0)),INDEX(Catalog!$D$4:$D$23,MATCH($B17,Catalog!$A$4:$A$23,0))),IF($D17="Regional",INDEX(Catalog!$F$4:$F$23,MATCH($B17,Catalog!$A$4:$A$23,0)),INDEX(Catalog!$D$4:$D$23,MATCH($B17,Catalog!$A$4:$A$23,0)))+CEILING(AH17-IF($D17="Regional",INDEX(Catalog!$F$4:$F$23,MATCH($B17,Catalog!$A$4:$A$23,0)),INDEX(Catalog!$D$4:$D$23,MATCH($B17,Catalog!$A$4:$A$23,0))),IF($D17="Regional",INDEX(Catalog!$G$4:$G$23,MATCH($B17,Catalog!$A$4:$A$23,0)),INDEX(Catalog!$E$4:$E$23,MATCH($B17,Catalog!$A$4:$A$23,0)))))))</f>
        <v/>
      </c>
    </row>
    <row r="18" customFormat="false" ht="15" hidden="false" customHeight="false" outlineLevel="0" collapsed="false">
      <c r="A18" s="9" t="str">
        <f aca="false">IF(UseCases!A18="","",UseCases!A18)</f>
        <v/>
      </c>
      <c r="B18" s="9" t="str">
        <f aca="false">IF($A18="","",UseCases!B18)</f>
        <v/>
      </c>
      <c r="C18" s="9" t="str">
        <f aca="false">IF($A18="","",UseCases!C18)</f>
        <v/>
      </c>
      <c r="D18" s="9" t="str">
        <f aca="false">IF($A18="","",UseCases!D18)</f>
        <v/>
      </c>
      <c r="E18" s="9" t="str">
        <f aca="false">IF($A18="","",UseCases!E18)</f>
        <v/>
      </c>
      <c r="F18" s="9" t="str">
        <f aca="false">IF($A18="","",UseCases!F18)</f>
        <v/>
      </c>
      <c r="G18" s="17" t="str">
        <f aca="false">IF($A18="","",UseCases!G18)</f>
        <v/>
      </c>
      <c r="H18" s="9" t="str">
        <f aca="false">IF($A18="","",N(UseCases!H18))</f>
        <v/>
      </c>
      <c r="I18" s="9" t="str">
        <f aca="false">IF($A18="","",N(UseCases!I18))</f>
        <v/>
      </c>
      <c r="J18" s="9" t="str">
        <f aca="false">IF($A18="","",N(UseCases!J18))</f>
        <v/>
      </c>
      <c r="K18" s="9" t="str">
        <f aca="false">IF($A18="","",INDEX(Catalog!$B$4:$B$23,MATCH($B18,Catalog!$A$4:$A$23,0)))</f>
        <v/>
      </c>
      <c r="L18" s="9" t="str">
        <f aca="false">IF($A18="","",INDEX(Catalog!$C$4:$C$23,MATCH($B18,Catalog!$A$4:$A$23,0)))</f>
        <v/>
      </c>
      <c r="M18" s="18" t="str">
        <f aca="false">IF($A18="","",INDEX(Catalog!$H$4:$H$23,MATCH($B18,Catalog!$A$4:$A$23,0))*INDEX(Catalog!$B$35:$B$37,MATCH($C18,Catalog!$A$35:$A$37,0)))</f>
        <v/>
      </c>
      <c r="N18" s="18" t="str">
        <f aca="false">IF($A18="","",INDEX(Catalog!$I$4:$I$23,MATCH($B18,Catalog!$A$4:$A$23,0))*INDEX(Catalog!$B$35:$B$37,MATCH($C18,Catalog!$A$35:$A$37,0)))</f>
        <v/>
      </c>
      <c r="O18" s="18" t="str">
        <f aca="false">IF($A18="","",INDEX(Catalog!$J$4:$J$23,MATCH($B18,Catalog!$A$4:$A$23,0))*INDEX(Catalog!$B$35:$B$37,MATCH($C18,Catalog!$A$35:$A$37,0)))</f>
        <v/>
      </c>
      <c r="P18" s="19" t="str">
        <f aca="false">IF($A18="","",H18*$E18)</f>
        <v/>
      </c>
      <c r="Q18" s="19" t="str">
        <f aca="false">IF($A18="","",I18*$E18)</f>
        <v/>
      </c>
      <c r="R18" s="19" t="str">
        <f aca="false">IF($A18="","",J18*$E18)</f>
        <v/>
      </c>
      <c r="S18" s="19" t="str">
        <f aca="false">IF($A18="","",H18*$F18)</f>
        <v/>
      </c>
      <c r="T18" s="19" t="str">
        <f aca="false">IF($A18="","",I18*$F18)</f>
        <v/>
      </c>
      <c r="U18" s="19" t="str">
        <f aca="false">IF($A18="","",J18*$F18)</f>
        <v/>
      </c>
      <c r="V18" s="19" t="str">
        <f aca="false">IF($A18="","",P18*(1-$G18)+S18*$L18)</f>
        <v/>
      </c>
      <c r="W18" s="19" t="str">
        <f aca="false">IF($A18="","",Q18*(1-$G18)+T18*$L18)</f>
        <v/>
      </c>
      <c r="X18" s="19" t="str">
        <f aca="false">IF($A18="","",R18*(1-$G18)+U18*$L18)</f>
        <v/>
      </c>
      <c r="Y18" s="18" t="str">
        <f aca="false">IF($A18="","",(P18*60*LoadPeriods!$E$4*((1-$G18)*$M18+$G18*$N18)+S18*60*LoadPeriods!$E$4*$O18)/1000000)</f>
        <v/>
      </c>
      <c r="Z18" s="18" t="str">
        <f aca="false">IF($A18="","",(Q18*60*LoadPeriods!$E$5*((1-$G18)*$M18+$G18*$N18)+T18*60*LoadPeriods!$E$5*$O18)/1000000)</f>
        <v/>
      </c>
      <c r="AA18" s="18" t="str">
        <f aca="false">IF($A18="","",(R18*60*LoadPeriods!$E$6*((1-$G18)*$M18+$G18*$N18)+U18*60*LoadPeriods!$E$6*$O18)/1000000)</f>
        <v/>
      </c>
      <c r="AB18" s="18" t="str">
        <f aca="false">IF($A18="","",SUM(Y18:AA18))</f>
        <v/>
      </c>
      <c r="AC18" s="19" t="str">
        <f aca="false">IF($A18="","",SUMPRODUCT(P18:R18,60*TRANSPOSE(LoadPeriods!$E$4:$E$6)))</f>
        <v/>
      </c>
      <c r="AD18" s="19" t="str">
        <f aca="false">IF($A18="","",SUMPRODUCT(S18:U18,60*TRANSPOSE(LoadPeriods!$E$4:$E$6)))</f>
        <v/>
      </c>
      <c r="AE18" s="9" t="str">
        <f aca="false">IF($A18="","",MAX(H18:J18))</f>
        <v/>
      </c>
      <c r="AF18" s="19" t="str">
        <f aca="false">IF($A18="","",MAX(P18+S18,Q18+T18,R18+U18))</f>
        <v/>
      </c>
      <c r="AG18" s="19" t="str">
        <f aca="false">IF($A18="","",MAX(V18:X18))</f>
        <v/>
      </c>
      <c r="AH18" s="20" t="str">
        <f aca="false">IF($A18="","",AG18/K18)</f>
        <v/>
      </c>
      <c r="AI18" s="9" t="str">
        <f aca="false">IF($A18="","",IF(AH18=0,0,IF(AH18&lt;=IF($D18="Regional",INDEX(Catalog!$F$4:$F$23,MATCH($B18,Catalog!$A$4:$A$23,0)),INDEX(Catalog!$D$4:$D$23,MATCH($B18,Catalog!$A$4:$A$23,0))),IF($D18="Regional",INDEX(Catalog!$F$4:$F$23,MATCH($B18,Catalog!$A$4:$A$23,0)),INDEX(Catalog!$D$4:$D$23,MATCH($B18,Catalog!$A$4:$A$23,0))),IF($D18="Regional",INDEX(Catalog!$F$4:$F$23,MATCH($B18,Catalog!$A$4:$A$23,0)),INDEX(Catalog!$D$4:$D$23,MATCH($B18,Catalog!$A$4:$A$23,0)))+CEILING(AH18-IF($D18="Regional",INDEX(Catalog!$F$4:$F$23,MATCH($B18,Catalog!$A$4:$A$23,0)),INDEX(Catalog!$D$4:$D$23,MATCH($B18,Catalog!$A$4:$A$23,0))),IF($D18="Regional",INDEX(Catalog!$G$4:$G$23,MATCH($B18,Catalog!$A$4:$A$23,0)),INDEX(Catalog!$E$4:$E$23,MATCH($B18,Catalog!$A$4:$A$23,0)))))))</f>
        <v/>
      </c>
    </row>
    <row r="19" customFormat="false" ht="15" hidden="false" customHeight="false" outlineLevel="0" collapsed="false">
      <c r="A19" s="9" t="str">
        <f aca="false">IF(UseCases!A19="","",UseCases!A19)</f>
        <v/>
      </c>
      <c r="B19" s="9" t="str">
        <f aca="false">IF($A19="","",UseCases!B19)</f>
        <v/>
      </c>
      <c r="C19" s="9" t="str">
        <f aca="false">IF($A19="","",UseCases!C19)</f>
        <v/>
      </c>
      <c r="D19" s="9" t="str">
        <f aca="false">IF($A19="","",UseCases!D19)</f>
        <v/>
      </c>
      <c r="E19" s="9" t="str">
        <f aca="false">IF($A19="","",UseCases!E19)</f>
        <v/>
      </c>
      <c r="F19" s="9" t="str">
        <f aca="false">IF($A19="","",UseCases!F19)</f>
        <v/>
      </c>
      <c r="G19" s="17" t="str">
        <f aca="false">IF($A19="","",UseCases!G19)</f>
        <v/>
      </c>
      <c r="H19" s="9" t="str">
        <f aca="false">IF($A19="","",N(UseCases!H19))</f>
        <v/>
      </c>
      <c r="I19" s="9" t="str">
        <f aca="false">IF($A19="","",N(UseCases!I19))</f>
        <v/>
      </c>
      <c r="J19" s="9" t="str">
        <f aca="false">IF($A19="","",N(UseCases!J19))</f>
        <v/>
      </c>
      <c r="K19" s="9" t="str">
        <f aca="false">IF($A19="","",INDEX(Catalog!$B$4:$B$23,MATCH($B19,Catalog!$A$4:$A$23,0)))</f>
        <v/>
      </c>
      <c r="L19" s="9" t="str">
        <f aca="false">IF($A19="","",INDEX(Catalog!$C$4:$C$23,MATCH($B19,Catalog!$A$4:$A$23,0)))</f>
        <v/>
      </c>
      <c r="M19" s="18" t="str">
        <f aca="false">IF($A19="","",INDEX(Catalog!$H$4:$H$23,MATCH($B19,Catalog!$A$4:$A$23,0))*INDEX(Catalog!$B$35:$B$37,MATCH($C19,Catalog!$A$35:$A$37,0)))</f>
        <v/>
      </c>
      <c r="N19" s="18" t="str">
        <f aca="false">IF($A19="","",INDEX(Catalog!$I$4:$I$23,MATCH($B19,Catalog!$A$4:$A$23,0))*INDEX(Catalog!$B$35:$B$37,MATCH($C19,Catalog!$A$35:$A$37,0)))</f>
        <v/>
      </c>
      <c r="O19" s="18" t="str">
        <f aca="false">IF($A19="","",INDEX(Catalog!$J$4:$J$23,MATCH($B19,Catalog!$A$4:$A$23,0))*INDEX(Catalog!$B$35:$B$37,MATCH($C19,Catalog!$A$35:$A$37,0)))</f>
        <v/>
      </c>
      <c r="P19" s="19" t="str">
        <f aca="false">IF($A19="","",H19*$E19)</f>
        <v/>
      </c>
      <c r="Q19" s="19" t="str">
        <f aca="false">IF($A19="","",I19*$E19)</f>
        <v/>
      </c>
      <c r="R19" s="19" t="str">
        <f aca="false">IF($A19="","",J19*$E19)</f>
        <v/>
      </c>
      <c r="S19" s="19" t="str">
        <f aca="false">IF($A19="","",H19*$F19)</f>
        <v/>
      </c>
      <c r="T19" s="19" t="str">
        <f aca="false">IF($A19="","",I19*$F19)</f>
        <v/>
      </c>
      <c r="U19" s="19" t="str">
        <f aca="false">IF($A19="","",J19*$F19)</f>
        <v/>
      </c>
      <c r="V19" s="19" t="str">
        <f aca="false">IF($A19="","",P19*(1-$G19)+S19*$L19)</f>
        <v/>
      </c>
      <c r="W19" s="19" t="str">
        <f aca="false">IF($A19="","",Q19*(1-$G19)+T19*$L19)</f>
        <v/>
      </c>
      <c r="X19" s="19" t="str">
        <f aca="false">IF($A19="","",R19*(1-$G19)+U19*$L19)</f>
        <v/>
      </c>
      <c r="Y19" s="18" t="str">
        <f aca="false">IF($A19="","",(P19*60*LoadPeriods!$E$4*((1-$G19)*$M19+$G19*$N19)+S19*60*LoadPeriods!$E$4*$O19)/1000000)</f>
        <v/>
      </c>
      <c r="Z19" s="18" t="str">
        <f aca="false">IF($A19="","",(Q19*60*LoadPeriods!$E$5*((1-$G19)*$M19+$G19*$N19)+T19*60*LoadPeriods!$E$5*$O19)/1000000)</f>
        <v/>
      </c>
      <c r="AA19" s="18" t="str">
        <f aca="false">IF($A19="","",(R19*60*LoadPeriods!$E$6*((1-$G19)*$M19+$G19*$N19)+U19*60*LoadPeriods!$E$6*$O19)/1000000)</f>
        <v/>
      </c>
      <c r="AB19" s="18" t="str">
        <f aca="false">IF($A19="","",SUM(Y19:AA19))</f>
        <v/>
      </c>
      <c r="AC19" s="19" t="str">
        <f aca="false">IF($A19="","",SUMPRODUCT(P19:R19,60*TRANSPOSE(LoadPeriods!$E$4:$E$6)))</f>
        <v/>
      </c>
      <c r="AD19" s="19" t="str">
        <f aca="false">IF($A19="","",SUMPRODUCT(S19:U19,60*TRANSPOSE(LoadPeriods!$E$4:$E$6)))</f>
        <v/>
      </c>
      <c r="AE19" s="9" t="str">
        <f aca="false">IF($A19="","",MAX(H19:J19))</f>
        <v/>
      </c>
      <c r="AF19" s="19" t="str">
        <f aca="false">IF($A19="","",MAX(P19+S19,Q19+T19,R19+U19))</f>
        <v/>
      </c>
      <c r="AG19" s="19" t="str">
        <f aca="false">IF($A19="","",MAX(V19:X19))</f>
        <v/>
      </c>
      <c r="AH19" s="20" t="str">
        <f aca="false">IF($A19="","",AG19/K19)</f>
        <v/>
      </c>
      <c r="AI19" s="9" t="str">
        <f aca="false">IF($A19="","",IF(AH19=0,0,IF(AH19&lt;=IF($D19="Regional",INDEX(Catalog!$F$4:$F$23,MATCH($B19,Catalog!$A$4:$A$23,0)),INDEX(Catalog!$D$4:$D$23,MATCH($B19,Catalog!$A$4:$A$23,0))),IF($D19="Regional",INDEX(Catalog!$F$4:$F$23,MATCH($B19,Catalog!$A$4:$A$23,0)),INDEX(Catalog!$D$4:$D$23,MATCH($B19,Catalog!$A$4:$A$23,0))),IF($D19="Regional",INDEX(Catalog!$F$4:$F$23,MATCH($B19,Catalog!$A$4:$A$23,0)),INDEX(Catalog!$D$4:$D$23,MATCH($B19,Catalog!$A$4:$A$23,0)))+CEILING(AH19-IF($D19="Regional",INDEX(Catalog!$F$4:$F$23,MATCH($B19,Catalog!$A$4:$A$23,0)),INDEX(Catalog!$D$4:$D$23,MATCH($B19,Catalog!$A$4:$A$23,0))),IF($D19="Regional",INDEX(Catalog!$G$4:$G$23,MATCH($B19,Catalog!$A$4:$A$23,0)),INDEX(Catalog!$E$4:$E$23,MATCH($B19,Catalog!$A$4:$A$23,0)))))))</f>
        <v/>
      </c>
    </row>
    <row r="20" customFormat="false" ht="15" hidden="false" customHeight="false" outlineLevel="0" collapsed="false">
      <c r="A20" s="9" t="str">
        <f aca="false">IF(UseCases!A20="","",UseCases!A20)</f>
        <v/>
      </c>
      <c r="B20" s="9" t="str">
        <f aca="false">IF($A20="","",UseCases!B20)</f>
        <v/>
      </c>
      <c r="C20" s="9" t="str">
        <f aca="false">IF($A20="","",UseCases!C20)</f>
        <v/>
      </c>
      <c r="D20" s="9" t="str">
        <f aca="false">IF($A20="","",UseCases!D20)</f>
        <v/>
      </c>
      <c r="E20" s="9" t="str">
        <f aca="false">IF($A20="","",UseCases!E20)</f>
        <v/>
      </c>
      <c r="F20" s="9" t="str">
        <f aca="false">IF($A20="","",UseCases!F20)</f>
        <v/>
      </c>
      <c r="G20" s="17" t="str">
        <f aca="false">IF($A20="","",UseCases!G20)</f>
        <v/>
      </c>
      <c r="H20" s="9" t="str">
        <f aca="false">IF($A20="","",N(UseCases!H20))</f>
        <v/>
      </c>
      <c r="I20" s="9" t="str">
        <f aca="false">IF($A20="","",N(UseCases!I20))</f>
        <v/>
      </c>
      <c r="J20" s="9" t="str">
        <f aca="false">IF($A20="","",N(UseCases!J20))</f>
        <v/>
      </c>
      <c r="K20" s="9" t="str">
        <f aca="false">IF($A20="","",INDEX(Catalog!$B$4:$B$23,MATCH($B20,Catalog!$A$4:$A$23,0)))</f>
        <v/>
      </c>
      <c r="L20" s="9" t="str">
        <f aca="false">IF($A20="","",INDEX(Catalog!$C$4:$C$23,MATCH($B20,Catalog!$A$4:$A$23,0)))</f>
        <v/>
      </c>
      <c r="M20" s="18" t="str">
        <f aca="false">IF($A20="","",INDEX(Catalog!$H$4:$H$23,MATCH($B20,Catalog!$A$4:$A$23,0))*INDEX(Catalog!$B$35:$B$37,MATCH($C20,Catalog!$A$35:$A$37,0)))</f>
        <v/>
      </c>
      <c r="N20" s="18" t="str">
        <f aca="false">IF($A20="","",INDEX(Catalog!$I$4:$I$23,MATCH($B20,Catalog!$A$4:$A$23,0))*INDEX(Catalog!$B$35:$B$37,MATCH($C20,Catalog!$A$35:$A$37,0)))</f>
        <v/>
      </c>
      <c r="O20" s="18" t="str">
        <f aca="false">IF($A20="","",INDEX(Catalog!$J$4:$J$23,MATCH($B20,Catalog!$A$4:$A$23,0))*INDEX(Catalog!$B$35:$B$37,MATCH($C20,Catalog!$A$35:$A$37,0)))</f>
        <v/>
      </c>
      <c r="P20" s="19" t="str">
        <f aca="false">IF($A20="","",H20*$E20)</f>
        <v/>
      </c>
      <c r="Q20" s="19" t="str">
        <f aca="false">IF($A20="","",I20*$E20)</f>
        <v/>
      </c>
      <c r="R20" s="19" t="str">
        <f aca="false">IF($A20="","",J20*$E20)</f>
        <v/>
      </c>
      <c r="S20" s="19" t="str">
        <f aca="false">IF($A20="","",H20*$F20)</f>
        <v/>
      </c>
      <c r="T20" s="19" t="str">
        <f aca="false">IF($A20="","",I20*$F20)</f>
        <v/>
      </c>
      <c r="U20" s="19" t="str">
        <f aca="false">IF($A20="","",J20*$F20)</f>
        <v/>
      </c>
      <c r="V20" s="19" t="str">
        <f aca="false">IF($A20="","",P20*(1-$G20)+S20*$L20)</f>
        <v/>
      </c>
      <c r="W20" s="19" t="str">
        <f aca="false">IF($A20="","",Q20*(1-$G20)+T20*$L20)</f>
        <v/>
      </c>
      <c r="X20" s="19" t="str">
        <f aca="false">IF($A20="","",R20*(1-$G20)+U20*$L20)</f>
        <v/>
      </c>
      <c r="Y20" s="18" t="str">
        <f aca="false">IF($A20="","",(P20*60*LoadPeriods!$E$4*((1-$G20)*$M20+$G20*$N20)+S20*60*LoadPeriods!$E$4*$O20)/1000000)</f>
        <v/>
      </c>
      <c r="Z20" s="18" t="str">
        <f aca="false">IF($A20="","",(Q20*60*LoadPeriods!$E$5*((1-$G20)*$M20+$G20*$N20)+T20*60*LoadPeriods!$E$5*$O20)/1000000)</f>
        <v/>
      </c>
      <c r="AA20" s="18" t="str">
        <f aca="false">IF($A20="","",(R20*60*LoadPeriods!$E$6*((1-$G20)*$M20+$G20*$N20)+U20*60*LoadPeriods!$E$6*$O20)/1000000)</f>
        <v/>
      </c>
      <c r="AB20" s="18" t="str">
        <f aca="false">IF($A20="","",SUM(Y20:AA20))</f>
        <v/>
      </c>
      <c r="AC20" s="19" t="str">
        <f aca="false">IF($A20="","",SUMPRODUCT(P20:R20,60*TRANSPOSE(LoadPeriods!$E$4:$E$6)))</f>
        <v/>
      </c>
      <c r="AD20" s="19" t="str">
        <f aca="false">IF($A20="","",SUMPRODUCT(S20:U20,60*TRANSPOSE(LoadPeriods!$E$4:$E$6)))</f>
        <v/>
      </c>
      <c r="AE20" s="9" t="str">
        <f aca="false">IF($A20="","",MAX(H20:J20))</f>
        <v/>
      </c>
      <c r="AF20" s="19" t="str">
        <f aca="false">IF($A20="","",MAX(P20+S20,Q20+T20,R20+U20))</f>
        <v/>
      </c>
      <c r="AG20" s="19" t="str">
        <f aca="false">IF($A20="","",MAX(V20:X20))</f>
        <v/>
      </c>
      <c r="AH20" s="20" t="str">
        <f aca="false">IF($A20="","",AG20/K20)</f>
        <v/>
      </c>
      <c r="AI20" s="9" t="str">
        <f aca="false">IF($A20="","",IF(AH20=0,0,IF(AH20&lt;=IF($D20="Regional",INDEX(Catalog!$F$4:$F$23,MATCH($B20,Catalog!$A$4:$A$23,0)),INDEX(Catalog!$D$4:$D$23,MATCH($B20,Catalog!$A$4:$A$23,0))),IF($D20="Regional",INDEX(Catalog!$F$4:$F$23,MATCH($B20,Catalog!$A$4:$A$23,0)),INDEX(Catalog!$D$4:$D$23,MATCH($B20,Catalog!$A$4:$A$23,0))),IF($D20="Regional",INDEX(Catalog!$F$4:$F$23,MATCH($B20,Catalog!$A$4:$A$23,0)),INDEX(Catalog!$D$4:$D$23,MATCH($B20,Catalog!$A$4:$A$23,0)))+CEILING(AH20-IF($D20="Regional",INDEX(Catalog!$F$4:$F$23,MATCH($B20,Catalog!$A$4:$A$23,0)),INDEX(Catalog!$D$4:$D$23,MATCH($B20,Catalog!$A$4:$A$23,0))),IF($D20="Regional",INDEX(Catalog!$G$4:$G$23,MATCH($B20,Catalog!$A$4:$A$23,0)),INDEX(Catalog!$E$4:$E$23,MATCH($B20,Catalog!$A$4:$A$23,0)))))))</f>
        <v/>
      </c>
    </row>
    <row r="21" customFormat="false" ht="15" hidden="false" customHeight="false" outlineLevel="0" collapsed="false">
      <c r="A21" s="9" t="str">
        <f aca="false">IF(UseCases!A21="","",UseCases!A21)</f>
        <v/>
      </c>
      <c r="B21" s="9" t="str">
        <f aca="false">IF($A21="","",UseCases!B21)</f>
        <v/>
      </c>
      <c r="C21" s="9" t="str">
        <f aca="false">IF($A21="","",UseCases!C21)</f>
        <v/>
      </c>
      <c r="D21" s="9" t="str">
        <f aca="false">IF($A21="","",UseCases!D21)</f>
        <v/>
      </c>
      <c r="E21" s="9" t="str">
        <f aca="false">IF($A21="","",UseCases!E21)</f>
        <v/>
      </c>
      <c r="F21" s="9" t="str">
        <f aca="false">IF($A21="","",UseCases!F21)</f>
        <v/>
      </c>
      <c r="G21" s="17" t="str">
        <f aca="false">IF($A21="","",UseCases!G21)</f>
        <v/>
      </c>
      <c r="H21" s="9" t="str">
        <f aca="false">IF($A21="","",N(UseCases!H21))</f>
        <v/>
      </c>
      <c r="I21" s="9" t="str">
        <f aca="false">IF($A21="","",N(UseCases!I21))</f>
        <v/>
      </c>
      <c r="J21" s="9" t="str">
        <f aca="false">IF($A21="","",N(UseCases!J21))</f>
        <v/>
      </c>
      <c r="K21" s="9" t="str">
        <f aca="false">IF($A21="","",INDEX(Catalog!$B$4:$B$23,MATCH($B21,Catalog!$A$4:$A$23,0)))</f>
        <v/>
      </c>
      <c r="L21" s="9" t="str">
        <f aca="false">IF($A21="","",INDEX(Catalog!$C$4:$C$23,MATCH($B21,Catalog!$A$4:$A$23,0)))</f>
        <v/>
      </c>
      <c r="M21" s="18" t="str">
        <f aca="false">IF($A21="","",INDEX(Catalog!$H$4:$H$23,MATCH($B21,Catalog!$A$4:$A$23,0))*INDEX(Catalog!$B$35:$B$37,MATCH($C21,Catalog!$A$35:$A$37,0)))</f>
        <v/>
      </c>
      <c r="N21" s="18" t="str">
        <f aca="false">IF($A21="","",INDEX(Catalog!$I$4:$I$23,MATCH($B21,Catalog!$A$4:$A$23,0))*INDEX(Catalog!$B$35:$B$37,MATCH($C21,Catalog!$A$35:$A$37,0)))</f>
        <v/>
      </c>
      <c r="O21" s="18" t="str">
        <f aca="false">IF($A21="","",INDEX(Catalog!$J$4:$J$23,MATCH($B21,Catalog!$A$4:$A$23,0))*INDEX(Catalog!$B$35:$B$37,MATCH($C21,Catalog!$A$35:$A$37,0)))</f>
        <v/>
      </c>
      <c r="P21" s="19" t="str">
        <f aca="false">IF($A21="","",H21*$E21)</f>
        <v/>
      </c>
      <c r="Q21" s="19" t="str">
        <f aca="false">IF($A21="","",I21*$E21)</f>
        <v/>
      </c>
      <c r="R21" s="19" t="str">
        <f aca="false">IF($A21="","",J21*$E21)</f>
        <v/>
      </c>
      <c r="S21" s="19" t="str">
        <f aca="false">IF($A21="","",H21*$F21)</f>
        <v/>
      </c>
      <c r="T21" s="19" t="str">
        <f aca="false">IF($A21="","",I21*$F21)</f>
        <v/>
      </c>
      <c r="U21" s="19" t="str">
        <f aca="false">IF($A21="","",J21*$F21)</f>
        <v/>
      </c>
      <c r="V21" s="19" t="str">
        <f aca="false">IF($A21="","",P21*(1-$G21)+S21*$L21)</f>
        <v/>
      </c>
      <c r="W21" s="19" t="str">
        <f aca="false">IF($A21="","",Q21*(1-$G21)+T21*$L21)</f>
        <v/>
      </c>
      <c r="X21" s="19" t="str">
        <f aca="false">IF($A21="","",R21*(1-$G21)+U21*$L21)</f>
        <v/>
      </c>
      <c r="Y21" s="18" t="str">
        <f aca="false">IF($A21="","",(P21*60*LoadPeriods!$E$4*((1-$G21)*$M21+$G21*$N21)+S21*60*LoadPeriods!$E$4*$O21)/1000000)</f>
        <v/>
      </c>
      <c r="Z21" s="18" t="str">
        <f aca="false">IF($A21="","",(Q21*60*LoadPeriods!$E$5*((1-$G21)*$M21+$G21*$N21)+T21*60*LoadPeriods!$E$5*$O21)/1000000)</f>
        <v/>
      </c>
      <c r="AA21" s="18" t="str">
        <f aca="false">IF($A21="","",(R21*60*LoadPeriods!$E$6*((1-$G21)*$M21+$G21*$N21)+U21*60*LoadPeriods!$E$6*$O21)/1000000)</f>
        <v/>
      </c>
      <c r="AB21" s="18" t="str">
        <f aca="false">IF($A21="","",SUM(Y21:AA21))</f>
        <v/>
      </c>
      <c r="AC21" s="19" t="str">
        <f aca="false">IF($A21="","",SUMPRODUCT(P21:R21,60*TRANSPOSE(LoadPeriods!$E$4:$E$6)))</f>
        <v/>
      </c>
      <c r="AD21" s="19" t="str">
        <f aca="false">IF($A21="","",SUMPRODUCT(S21:U21,60*TRANSPOSE(LoadPeriods!$E$4:$E$6)))</f>
        <v/>
      </c>
      <c r="AE21" s="9" t="str">
        <f aca="false">IF($A21="","",MAX(H21:J21))</f>
        <v/>
      </c>
      <c r="AF21" s="19" t="str">
        <f aca="false">IF($A21="","",MAX(P21+S21,Q21+T21,R21+U21))</f>
        <v/>
      </c>
      <c r="AG21" s="19" t="str">
        <f aca="false">IF($A21="","",MAX(V21:X21))</f>
        <v/>
      </c>
      <c r="AH21" s="20" t="str">
        <f aca="false">IF($A21="","",AG21/K21)</f>
        <v/>
      </c>
      <c r="AI21" s="9" t="str">
        <f aca="false">IF($A21="","",IF(AH21=0,0,IF(AH21&lt;=IF($D21="Regional",INDEX(Catalog!$F$4:$F$23,MATCH($B21,Catalog!$A$4:$A$23,0)),INDEX(Catalog!$D$4:$D$23,MATCH($B21,Catalog!$A$4:$A$23,0))),IF($D21="Regional",INDEX(Catalog!$F$4:$F$23,MATCH($B21,Catalog!$A$4:$A$23,0)),INDEX(Catalog!$D$4:$D$23,MATCH($B21,Catalog!$A$4:$A$23,0))),IF($D21="Regional",INDEX(Catalog!$F$4:$F$23,MATCH($B21,Catalog!$A$4:$A$23,0)),INDEX(Catalog!$D$4:$D$23,MATCH($B21,Catalog!$A$4:$A$23,0)))+CEILING(AH21-IF($D21="Regional",INDEX(Catalog!$F$4:$F$23,MATCH($B21,Catalog!$A$4:$A$23,0)),INDEX(Catalog!$D$4:$D$23,MATCH($B21,Catalog!$A$4:$A$23,0))),IF($D21="Regional",INDEX(Catalog!$G$4:$G$23,MATCH($B21,Catalog!$A$4:$A$23,0)),INDEX(Catalog!$E$4:$E$23,MATCH($B21,Catalog!$A$4:$A$23,0)))))))</f>
        <v/>
      </c>
    </row>
    <row r="22" customFormat="false" ht="15" hidden="false" customHeight="false" outlineLevel="0" collapsed="false">
      <c r="A22" s="9" t="str">
        <f aca="false">IF(UseCases!A22="","",UseCases!A22)</f>
        <v/>
      </c>
      <c r="B22" s="9" t="str">
        <f aca="false">IF($A22="","",UseCases!B22)</f>
        <v/>
      </c>
      <c r="C22" s="9" t="str">
        <f aca="false">IF($A22="","",UseCases!C22)</f>
        <v/>
      </c>
      <c r="D22" s="9" t="str">
        <f aca="false">IF($A22="","",UseCases!D22)</f>
        <v/>
      </c>
      <c r="E22" s="9" t="str">
        <f aca="false">IF($A22="","",UseCases!E22)</f>
        <v/>
      </c>
      <c r="F22" s="9" t="str">
        <f aca="false">IF($A22="","",UseCases!F22)</f>
        <v/>
      </c>
      <c r="G22" s="17" t="str">
        <f aca="false">IF($A22="","",UseCases!G22)</f>
        <v/>
      </c>
      <c r="H22" s="9" t="str">
        <f aca="false">IF($A22="","",N(UseCases!H22))</f>
        <v/>
      </c>
      <c r="I22" s="9" t="str">
        <f aca="false">IF($A22="","",N(UseCases!I22))</f>
        <v/>
      </c>
      <c r="J22" s="9" t="str">
        <f aca="false">IF($A22="","",N(UseCases!J22))</f>
        <v/>
      </c>
      <c r="K22" s="9" t="str">
        <f aca="false">IF($A22="","",INDEX(Catalog!$B$4:$B$23,MATCH($B22,Catalog!$A$4:$A$23,0)))</f>
        <v/>
      </c>
      <c r="L22" s="9" t="str">
        <f aca="false">IF($A22="","",INDEX(Catalog!$C$4:$C$23,MATCH($B22,Catalog!$A$4:$A$23,0)))</f>
        <v/>
      </c>
      <c r="M22" s="18" t="str">
        <f aca="false">IF($A22="","",INDEX(Catalog!$H$4:$H$23,MATCH($B22,Catalog!$A$4:$A$23,0))*INDEX(Catalog!$B$35:$B$37,MATCH($C22,Catalog!$A$35:$A$37,0)))</f>
        <v/>
      </c>
      <c r="N22" s="18" t="str">
        <f aca="false">IF($A22="","",INDEX(Catalog!$I$4:$I$23,MATCH($B22,Catalog!$A$4:$A$23,0))*INDEX(Catalog!$B$35:$B$37,MATCH($C22,Catalog!$A$35:$A$37,0)))</f>
        <v/>
      </c>
      <c r="O22" s="18" t="str">
        <f aca="false">IF($A22="","",INDEX(Catalog!$J$4:$J$23,MATCH($B22,Catalog!$A$4:$A$23,0))*INDEX(Catalog!$B$35:$B$37,MATCH($C22,Catalog!$A$35:$A$37,0)))</f>
        <v/>
      </c>
      <c r="P22" s="19" t="str">
        <f aca="false">IF($A22="","",H22*$E22)</f>
        <v/>
      </c>
      <c r="Q22" s="19" t="str">
        <f aca="false">IF($A22="","",I22*$E22)</f>
        <v/>
      </c>
      <c r="R22" s="19" t="str">
        <f aca="false">IF($A22="","",J22*$E22)</f>
        <v/>
      </c>
      <c r="S22" s="19" t="str">
        <f aca="false">IF($A22="","",H22*$F22)</f>
        <v/>
      </c>
      <c r="T22" s="19" t="str">
        <f aca="false">IF($A22="","",I22*$F22)</f>
        <v/>
      </c>
      <c r="U22" s="19" t="str">
        <f aca="false">IF($A22="","",J22*$F22)</f>
        <v/>
      </c>
      <c r="V22" s="19" t="str">
        <f aca="false">IF($A22="","",P22*(1-$G22)+S22*$L22)</f>
        <v/>
      </c>
      <c r="W22" s="19" t="str">
        <f aca="false">IF($A22="","",Q22*(1-$G22)+T22*$L22)</f>
        <v/>
      </c>
      <c r="X22" s="19" t="str">
        <f aca="false">IF($A22="","",R22*(1-$G22)+U22*$L22)</f>
        <v/>
      </c>
      <c r="Y22" s="18" t="str">
        <f aca="false">IF($A22="","",(P22*60*LoadPeriods!$E$4*((1-$G22)*$M22+$G22*$N22)+S22*60*LoadPeriods!$E$4*$O22)/1000000)</f>
        <v/>
      </c>
      <c r="Z22" s="18" t="str">
        <f aca="false">IF($A22="","",(Q22*60*LoadPeriods!$E$5*((1-$G22)*$M22+$G22*$N22)+T22*60*LoadPeriods!$E$5*$O22)/1000000)</f>
        <v/>
      </c>
      <c r="AA22" s="18" t="str">
        <f aca="false">IF($A22="","",(R22*60*LoadPeriods!$E$6*((1-$G22)*$M22+$G22*$N22)+U22*60*LoadPeriods!$E$6*$O22)/1000000)</f>
        <v/>
      </c>
      <c r="AB22" s="18" t="str">
        <f aca="false">IF($A22="","",SUM(Y22:AA22))</f>
        <v/>
      </c>
      <c r="AC22" s="19" t="str">
        <f aca="false">IF($A22="","",SUMPRODUCT(P22:R22,60*TRANSPOSE(LoadPeriods!$E$4:$E$6)))</f>
        <v/>
      </c>
      <c r="AD22" s="19" t="str">
        <f aca="false">IF($A22="","",SUMPRODUCT(S22:U22,60*TRANSPOSE(LoadPeriods!$E$4:$E$6)))</f>
        <v/>
      </c>
      <c r="AE22" s="9" t="str">
        <f aca="false">IF($A22="","",MAX(H22:J22))</f>
        <v/>
      </c>
      <c r="AF22" s="19" t="str">
        <f aca="false">IF($A22="","",MAX(P22+S22,Q22+T22,R22+U22))</f>
        <v/>
      </c>
      <c r="AG22" s="19" t="str">
        <f aca="false">IF($A22="","",MAX(V22:X22))</f>
        <v/>
      </c>
      <c r="AH22" s="20" t="str">
        <f aca="false">IF($A22="","",AG22/K22)</f>
        <v/>
      </c>
      <c r="AI22" s="9" t="str">
        <f aca="false">IF($A22="","",IF(AH22=0,0,IF(AH22&lt;=IF($D22="Regional",INDEX(Catalog!$F$4:$F$23,MATCH($B22,Catalog!$A$4:$A$23,0)),INDEX(Catalog!$D$4:$D$23,MATCH($B22,Catalog!$A$4:$A$23,0))),IF($D22="Regional",INDEX(Catalog!$F$4:$F$23,MATCH($B22,Catalog!$A$4:$A$23,0)),INDEX(Catalog!$D$4:$D$23,MATCH($B22,Catalog!$A$4:$A$23,0))),IF($D22="Regional",INDEX(Catalog!$F$4:$F$23,MATCH($B22,Catalog!$A$4:$A$23,0)),INDEX(Catalog!$D$4:$D$23,MATCH($B22,Catalog!$A$4:$A$23,0)))+CEILING(AH22-IF($D22="Regional",INDEX(Catalog!$F$4:$F$23,MATCH($B22,Catalog!$A$4:$A$23,0)),INDEX(Catalog!$D$4:$D$23,MATCH($B22,Catalog!$A$4:$A$23,0))),IF($D22="Regional",INDEX(Catalog!$G$4:$G$23,MATCH($B22,Catalog!$A$4:$A$23,0)),INDEX(Catalog!$E$4:$E$23,MATCH($B22,Catalog!$A$4:$A$23,0)))))))</f>
        <v/>
      </c>
    </row>
    <row r="23" customFormat="false" ht="15" hidden="false" customHeight="false" outlineLevel="0" collapsed="false">
      <c r="A23" s="9" t="str">
        <f aca="false">IF(UseCases!A23="","",UseCases!A23)</f>
        <v/>
      </c>
      <c r="B23" s="9" t="str">
        <f aca="false">IF($A23="","",UseCases!B23)</f>
        <v/>
      </c>
      <c r="C23" s="9" t="str">
        <f aca="false">IF($A23="","",UseCases!C23)</f>
        <v/>
      </c>
      <c r="D23" s="9" t="str">
        <f aca="false">IF($A23="","",UseCases!D23)</f>
        <v/>
      </c>
      <c r="E23" s="9" t="str">
        <f aca="false">IF($A23="","",UseCases!E23)</f>
        <v/>
      </c>
      <c r="F23" s="9" t="str">
        <f aca="false">IF($A23="","",UseCases!F23)</f>
        <v/>
      </c>
      <c r="G23" s="17" t="str">
        <f aca="false">IF($A23="","",UseCases!G23)</f>
        <v/>
      </c>
      <c r="H23" s="9" t="str">
        <f aca="false">IF($A23="","",N(UseCases!H23))</f>
        <v/>
      </c>
      <c r="I23" s="9" t="str">
        <f aca="false">IF($A23="","",N(UseCases!I23))</f>
        <v/>
      </c>
      <c r="J23" s="9" t="str">
        <f aca="false">IF($A23="","",N(UseCases!J23))</f>
        <v/>
      </c>
      <c r="K23" s="9" t="str">
        <f aca="false">IF($A23="","",INDEX(Catalog!$B$4:$B$23,MATCH($B23,Catalog!$A$4:$A$23,0)))</f>
        <v/>
      </c>
      <c r="L23" s="9" t="str">
        <f aca="false">IF($A23="","",INDEX(Catalog!$C$4:$C$23,MATCH($B23,Catalog!$A$4:$A$23,0)))</f>
        <v/>
      </c>
      <c r="M23" s="18" t="str">
        <f aca="false">IF($A23="","",INDEX(Catalog!$H$4:$H$23,MATCH($B23,Catalog!$A$4:$A$23,0))*INDEX(Catalog!$B$35:$B$37,MATCH($C23,Catalog!$A$35:$A$37,0)))</f>
        <v/>
      </c>
      <c r="N23" s="18" t="str">
        <f aca="false">IF($A23="","",INDEX(Catalog!$I$4:$I$23,MATCH($B23,Catalog!$A$4:$A$23,0))*INDEX(Catalog!$B$35:$B$37,MATCH($C23,Catalog!$A$35:$A$37,0)))</f>
        <v/>
      </c>
      <c r="O23" s="18" t="str">
        <f aca="false">IF($A23="","",INDEX(Catalog!$J$4:$J$23,MATCH($B23,Catalog!$A$4:$A$23,0))*INDEX(Catalog!$B$35:$B$37,MATCH($C23,Catalog!$A$35:$A$37,0)))</f>
        <v/>
      </c>
      <c r="P23" s="19" t="str">
        <f aca="false">IF($A23="","",H23*$E23)</f>
        <v/>
      </c>
      <c r="Q23" s="19" t="str">
        <f aca="false">IF($A23="","",I23*$E23)</f>
        <v/>
      </c>
      <c r="R23" s="19" t="str">
        <f aca="false">IF($A23="","",J23*$E23)</f>
        <v/>
      </c>
      <c r="S23" s="19" t="str">
        <f aca="false">IF($A23="","",H23*$F23)</f>
        <v/>
      </c>
      <c r="T23" s="19" t="str">
        <f aca="false">IF($A23="","",I23*$F23)</f>
        <v/>
      </c>
      <c r="U23" s="19" t="str">
        <f aca="false">IF($A23="","",J23*$F23)</f>
        <v/>
      </c>
      <c r="V23" s="19" t="str">
        <f aca="false">IF($A23="","",P23*(1-$G23)+S23*$L23)</f>
        <v/>
      </c>
      <c r="W23" s="19" t="str">
        <f aca="false">IF($A23="","",Q23*(1-$G23)+T23*$L23)</f>
        <v/>
      </c>
      <c r="X23" s="19" t="str">
        <f aca="false">IF($A23="","",R23*(1-$G23)+U23*$L23)</f>
        <v/>
      </c>
      <c r="Y23" s="18" t="str">
        <f aca="false">IF($A23="","",(P23*60*LoadPeriods!$E$4*((1-$G23)*$M23+$G23*$N23)+S23*60*LoadPeriods!$E$4*$O23)/1000000)</f>
        <v/>
      </c>
      <c r="Z23" s="18" t="str">
        <f aca="false">IF($A23="","",(Q23*60*LoadPeriods!$E$5*((1-$G23)*$M23+$G23*$N23)+T23*60*LoadPeriods!$E$5*$O23)/1000000)</f>
        <v/>
      </c>
      <c r="AA23" s="18" t="str">
        <f aca="false">IF($A23="","",(R23*60*LoadPeriods!$E$6*((1-$G23)*$M23+$G23*$N23)+U23*60*LoadPeriods!$E$6*$O23)/1000000)</f>
        <v/>
      </c>
      <c r="AB23" s="18" t="str">
        <f aca="false">IF($A23="","",SUM(Y23:AA23))</f>
        <v/>
      </c>
      <c r="AC23" s="19" t="str">
        <f aca="false">IF($A23="","",SUMPRODUCT(P23:R23,60*TRANSPOSE(LoadPeriods!$E$4:$E$6)))</f>
        <v/>
      </c>
      <c r="AD23" s="19" t="str">
        <f aca="false">IF($A23="","",SUMPRODUCT(S23:U23,60*TRANSPOSE(LoadPeriods!$E$4:$E$6)))</f>
        <v/>
      </c>
      <c r="AE23" s="9" t="str">
        <f aca="false">IF($A23="","",MAX(H23:J23))</f>
        <v/>
      </c>
      <c r="AF23" s="19" t="str">
        <f aca="false">IF($A23="","",MAX(P23+S23,Q23+T23,R23+U23))</f>
        <v/>
      </c>
      <c r="AG23" s="19" t="str">
        <f aca="false">IF($A23="","",MAX(V23:X23))</f>
        <v/>
      </c>
      <c r="AH23" s="20" t="str">
        <f aca="false">IF($A23="","",AG23/K23)</f>
        <v/>
      </c>
      <c r="AI23" s="9" t="str">
        <f aca="false">IF($A23="","",IF(AH23=0,0,IF(AH23&lt;=IF($D23="Regional",INDEX(Catalog!$F$4:$F$23,MATCH($B23,Catalog!$A$4:$A$23,0)),INDEX(Catalog!$D$4:$D$23,MATCH($B23,Catalog!$A$4:$A$23,0))),IF($D23="Regional",INDEX(Catalog!$F$4:$F$23,MATCH($B23,Catalog!$A$4:$A$23,0)),INDEX(Catalog!$D$4:$D$23,MATCH($B23,Catalog!$A$4:$A$23,0))),IF($D23="Regional",INDEX(Catalog!$F$4:$F$23,MATCH($B23,Catalog!$A$4:$A$23,0)),INDEX(Catalog!$D$4:$D$23,MATCH($B23,Catalog!$A$4:$A$23,0)))+CEILING(AH23-IF($D23="Regional",INDEX(Catalog!$F$4:$F$23,MATCH($B23,Catalog!$A$4:$A$23,0)),INDEX(Catalog!$D$4:$D$23,MATCH($B23,Catalog!$A$4:$A$23,0))),IF($D23="Regional",INDEX(Catalog!$G$4:$G$23,MATCH($B23,Catalog!$A$4:$A$23,0)),INDEX(Catalog!$E$4:$E$23,MATCH($B23,Catalog!$A$4:$A$23,0))))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5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1" min="10" style="0" width="15"/>
    <col collapsed="false" customWidth="true" hidden="false" outlineLevel="0" max="12" min="12" style="0" width="14"/>
  </cols>
  <sheetData>
    <row r="1" customFormat="false" ht="16.15" hidden="false" customHeight="false" outlineLevel="0" collapsed="false">
      <c r="A1" s="1" t="s">
        <v>123</v>
      </c>
    </row>
    <row r="3" customFormat="false" ht="23.85" hidden="false" customHeight="false" outlineLevel="0" collapsed="false">
      <c r="A3" s="4" t="s">
        <v>33</v>
      </c>
      <c r="B3" s="4" t="s">
        <v>83</v>
      </c>
      <c r="C3" s="4" t="s">
        <v>124</v>
      </c>
      <c r="D3" s="4" t="s">
        <v>120</v>
      </c>
      <c r="E3" s="4" t="s">
        <v>125</v>
      </c>
      <c r="F3" s="4" t="s">
        <v>126</v>
      </c>
      <c r="G3" s="4" t="s">
        <v>19</v>
      </c>
      <c r="H3" s="4" t="s">
        <v>13</v>
      </c>
      <c r="I3" s="4" t="s">
        <v>127</v>
      </c>
      <c r="J3" s="4" t="s">
        <v>128</v>
      </c>
      <c r="K3" s="4" t="s">
        <v>129</v>
      </c>
      <c r="L3" s="4" t="s">
        <v>130</v>
      </c>
    </row>
    <row r="4" customFormat="false" ht="15" hidden="false" customHeight="false" outlineLevel="0" collapsed="false">
      <c r="A4" s="21" t="str">
        <f aca="false">Catalog!A4</f>
        <v>gpt-5.5</v>
      </c>
      <c r="B4" s="9" t="s">
        <v>64</v>
      </c>
      <c r="C4" s="9" t="n">
        <f aca="false">COUNTIFS(Calcs!$B$4:$B$23,$A4,Calcs!$D$4:$D$23,$B4,Calcs!$A$4:$A$23,"&lt;&gt;")</f>
        <v>0</v>
      </c>
      <c r="D4" s="19" t="n">
        <f aca="false">IF(C4=0,0,MAX(SUMIFS(Calcs!$V$4:$V$23,Calcs!$B$4:$B$23,$A4,Calcs!$D$4:$D$23,$B4),SUMIFS(Calcs!$W$4:$W$23,Calcs!$B$4:$B$23,$A4,Calcs!$D$4:$D$23,$B4),SUMIFS(Calcs!$X$4:$X$23,Calcs!$B$4:$B$23,$A4,Calcs!$D$4:$D$23,$B4)))</f>
        <v>0</v>
      </c>
      <c r="E4" s="20" t="n">
        <f aca="false">IF(C4=0,0,D4/Catalog!B4)</f>
        <v>0</v>
      </c>
      <c r="F4" s="9" t="n">
        <f aca="false">IF(E4=0,0,IF(E4&lt;=IF($B4="Regional",Catalog!F4,Catalog!D4),IF($B4="Regional",Catalog!F4,Catalog!D4),IF($B4="Regional",Catalog!F4,Catalog!D4)+CEILING(E4-IF($B4="Regional",Catalog!F4,Catalog!D4),IF($B4="Regional",Catalog!G4,Catalog!E4))))</f>
        <v>0</v>
      </c>
      <c r="G4" s="22" t="str">
        <f aca="false">IF(F4=0,"",(SUMIFS(Calcs!$V$4:$V$23,Calcs!$B$4:$B$23,$A4,Calcs!$D$4:$D$23,$B4)*LoadPeriods!$E$4+SUMIFS(Calcs!$W$4:$W$23,Calcs!$B$4:$B$23,$A4,Calcs!$D$4:$D$23,$B4)*LoadPeriods!$E$5+SUMIFS(Calcs!$X$4:$X$23,Calcs!$B$4:$B$23,$A4,Calcs!$D$4:$D$23,$B4)*LoadPeriods!$E$6)/(F4*Catalog!B4*Catalog!$B$40))</f>
        <v/>
      </c>
      <c r="H4" s="23" t="n">
        <f aca="false">IF(C4=0,0,SUMIFS(Calcs!$AB$4:$AB$23,Calcs!$B$4:$B$23,$A4,Calcs!$D$4:$D$23,$B4))</f>
        <v>0</v>
      </c>
      <c r="I4" s="23" t="n">
        <f aca="false">IF(F4=0,0,F4*INDEX(Catalog!$B$28:$B$30,MATCH($B4,Catalog!$A$28:$A$30,0))*Catalog!$B$40)</f>
        <v>0</v>
      </c>
      <c r="J4" s="23" t="n">
        <f aca="false">IF(F4=0,0,F4*INDEX(Catalog!$C$28:$C$30,MATCH($B4,Catalog!$A$28:$A$30,0)))</f>
        <v>0</v>
      </c>
      <c r="K4" s="23" t="n">
        <f aca="false">IF(F4=0,0,F4*INDEX(Catalog!$D$28:$D$30,MATCH($B4,Catalog!$A$28:$A$30,0))/12)</f>
        <v>0</v>
      </c>
      <c r="L4" s="9" t="str">
        <f aca="false">IF(C4=0,"",IF(J4&lt;=H4,"PTU","PayGO"))</f>
        <v/>
      </c>
    </row>
    <row r="5" customFormat="false" ht="15" hidden="false" customHeight="false" outlineLevel="0" collapsed="false">
      <c r="A5" s="21" t="str">
        <f aca="false">Catalog!A4</f>
        <v>gpt-5.5</v>
      </c>
      <c r="B5" s="9" t="s">
        <v>65</v>
      </c>
      <c r="C5" s="9" t="n">
        <f aca="false">COUNTIFS(Calcs!$B$4:$B$23,$A5,Calcs!$D$4:$D$23,$B5,Calcs!$A$4:$A$23,"&lt;&gt;")</f>
        <v>0</v>
      </c>
      <c r="D5" s="19" t="n">
        <f aca="false">IF(C5=0,0,MAX(SUMIFS(Calcs!$V$4:$V$23,Calcs!$B$4:$B$23,$A5,Calcs!$D$4:$D$23,$B5),SUMIFS(Calcs!$W$4:$W$23,Calcs!$B$4:$B$23,$A5,Calcs!$D$4:$D$23,$B5),SUMIFS(Calcs!$X$4:$X$23,Calcs!$B$4:$B$23,$A5,Calcs!$D$4:$D$23,$B5)))</f>
        <v>0</v>
      </c>
      <c r="E5" s="20" t="n">
        <f aca="false">IF(C5=0,0,D5/Catalog!B4)</f>
        <v>0</v>
      </c>
      <c r="F5" s="9" t="n">
        <f aca="false">IF(E5=0,0,IF(E5&lt;=IF($B5="Regional",Catalog!F4,Catalog!D4),IF($B5="Regional",Catalog!F4,Catalog!D4),IF($B5="Regional",Catalog!F4,Catalog!D4)+CEILING(E5-IF($B5="Regional",Catalog!F4,Catalog!D4),IF($B5="Regional",Catalog!G4,Catalog!E4))))</f>
        <v>0</v>
      </c>
      <c r="G5" s="22" t="str">
        <f aca="false">IF(F5=0,"",(SUMIFS(Calcs!$V$4:$V$23,Calcs!$B$4:$B$23,$A5,Calcs!$D$4:$D$23,$B5)*LoadPeriods!$E$4+SUMIFS(Calcs!$W$4:$W$23,Calcs!$B$4:$B$23,$A5,Calcs!$D$4:$D$23,$B5)*LoadPeriods!$E$5+SUMIFS(Calcs!$X$4:$X$23,Calcs!$B$4:$B$23,$A5,Calcs!$D$4:$D$23,$B5)*LoadPeriods!$E$6)/(F5*Catalog!B4*Catalog!$B$40))</f>
        <v/>
      </c>
      <c r="H5" s="23" t="n">
        <f aca="false">IF(C5=0,0,SUMIFS(Calcs!$AB$4:$AB$23,Calcs!$B$4:$B$23,$A5,Calcs!$D$4:$D$23,$B5))</f>
        <v>0</v>
      </c>
      <c r="I5" s="23" t="n">
        <f aca="false">IF(F5=0,0,F5*INDEX(Catalog!$B$28:$B$30,MATCH($B5,Catalog!$A$28:$A$30,0))*Catalog!$B$40)</f>
        <v>0</v>
      </c>
      <c r="J5" s="23" t="n">
        <f aca="false">IF(F5=0,0,F5*INDEX(Catalog!$C$28:$C$30,MATCH($B5,Catalog!$A$28:$A$30,0)))</f>
        <v>0</v>
      </c>
      <c r="K5" s="23" t="n">
        <f aca="false">IF(F5=0,0,F5*INDEX(Catalog!$D$28:$D$30,MATCH($B5,Catalog!$A$28:$A$30,0))/12)</f>
        <v>0</v>
      </c>
      <c r="L5" s="9" t="str">
        <f aca="false">IF(C5=0,"",IF(J5&lt;=H5,"PTU","PayGO"))</f>
        <v/>
      </c>
    </row>
    <row r="6" customFormat="false" ht="15" hidden="false" customHeight="false" outlineLevel="0" collapsed="false">
      <c r="A6" s="21" t="str">
        <f aca="false">Catalog!A4</f>
        <v>gpt-5.5</v>
      </c>
      <c r="B6" s="9" t="s">
        <v>66</v>
      </c>
      <c r="C6" s="9" t="n">
        <f aca="false">COUNTIFS(Calcs!$B$4:$B$23,$A6,Calcs!$D$4:$D$23,$B6,Calcs!$A$4:$A$23,"&lt;&gt;")</f>
        <v>0</v>
      </c>
      <c r="D6" s="19" t="n">
        <f aca="false">IF(C6=0,0,MAX(SUMIFS(Calcs!$V$4:$V$23,Calcs!$B$4:$B$23,$A6,Calcs!$D$4:$D$23,$B6),SUMIFS(Calcs!$W$4:$W$23,Calcs!$B$4:$B$23,$A6,Calcs!$D$4:$D$23,$B6),SUMIFS(Calcs!$X$4:$X$23,Calcs!$B$4:$B$23,$A6,Calcs!$D$4:$D$23,$B6)))</f>
        <v>0</v>
      </c>
      <c r="E6" s="20" t="n">
        <f aca="false">IF(C6=0,0,D6/Catalog!B4)</f>
        <v>0</v>
      </c>
      <c r="F6" s="9" t="n">
        <f aca="false">IF(E6=0,0,IF(E6&lt;=IF($B6="Regional",Catalog!F4,Catalog!D4),IF($B6="Regional",Catalog!F4,Catalog!D4),IF($B6="Regional",Catalog!F4,Catalog!D4)+CEILING(E6-IF($B6="Regional",Catalog!F4,Catalog!D4),IF($B6="Regional",Catalog!G4,Catalog!E4))))</f>
        <v>0</v>
      </c>
      <c r="G6" s="22" t="str">
        <f aca="false">IF(F6=0,"",(SUMIFS(Calcs!$V$4:$V$23,Calcs!$B$4:$B$23,$A6,Calcs!$D$4:$D$23,$B6)*LoadPeriods!$E$4+SUMIFS(Calcs!$W$4:$W$23,Calcs!$B$4:$B$23,$A6,Calcs!$D$4:$D$23,$B6)*LoadPeriods!$E$5+SUMIFS(Calcs!$X$4:$X$23,Calcs!$B$4:$B$23,$A6,Calcs!$D$4:$D$23,$B6)*LoadPeriods!$E$6)/(F6*Catalog!B4*Catalog!$B$40))</f>
        <v/>
      </c>
      <c r="H6" s="23" t="n">
        <f aca="false">IF(C6=0,0,SUMIFS(Calcs!$AB$4:$AB$23,Calcs!$B$4:$B$23,$A6,Calcs!$D$4:$D$23,$B6))</f>
        <v>0</v>
      </c>
      <c r="I6" s="23" t="n">
        <f aca="false">IF(F6=0,0,F6*INDEX(Catalog!$B$28:$B$30,MATCH($B6,Catalog!$A$28:$A$30,0))*Catalog!$B$40)</f>
        <v>0</v>
      </c>
      <c r="J6" s="23" t="n">
        <f aca="false">IF(F6=0,0,F6*INDEX(Catalog!$C$28:$C$30,MATCH($B6,Catalog!$A$28:$A$30,0)))</f>
        <v>0</v>
      </c>
      <c r="K6" s="23" t="n">
        <f aca="false">IF(F6=0,0,F6*INDEX(Catalog!$D$28:$D$30,MATCH($B6,Catalog!$A$28:$A$30,0))/12)</f>
        <v>0</v>
      </c>
      <c r="L6" s="9" t="str">
        <f aca="false">IF(C6=0,"",IF(J6&lt;=H6,"PTU","PayGO"))</f>
        <v/>
      </c>
    </row>
    <row r="7" customFormat="false" ht="15" hidden="false" customHeight="false" outlineLevel="0" collapsed="false">
      <c r="A7" s="21" t="str">
        <f aca="false">Catalog!A5</f>
        <v>gpt-5.4</v>
      </c>
      <c r="B7" s="9" t="s">
        <v>64</v>
      </c>
      <c r="C7" s="9" t="n">
        <f aca="false">COUNTIFS(Calcs!$B$4:$B$23,$A7,Calcs!$D$4:$D$23,$B7,Calcs!$A$4:$A$23,"&lt;&gt;")</f>
        <v>0</v>
      </c>
      <c r="D7" s="19" t="n">
        <f aca="false">IF(C7=0,0,MAX(SUMIFS(Calcs!$V$4:$V$23,Calcs!$B$4:$B$23,$A7,Calcs!$D$4:$D$23,$B7),SUMIFS(Calcs!$W$4:$W$23,Calcs!$B$4:$B$23,$A7,Calcs!$D$4:$D$23,$B7),SUMIFS(Calcs!$X$4:$X$23,Calcs!$B$4:$B$23,$A7,Calcs!$D$4:$D$23,$B7)))</f>
        <v>0</v>
      </c>
      <c r="E7" s="20" t="n">
        <f aca="false">IF(C7=0,0,D7/Catalog!B5)</f>
        <v>0</v>
      </c>
      <c r="F7" s="9" t="n">
        <f aca="false">IF(E7=0,0,IF(E7&lt;=IF($B7="Regional",Catalog!F5,Catalog!D5),IF($B7="Regional",Catalog!F5,Catalog!D5),IF($B7="Regional",Catalog!F5,Catalog!D5)+CEILING(E7-IF($B7="Regional",Catalog!F5,Catalog!D5),IF($B7="Regional",Catalog!G5,Catalog!E5))))</f>
        <v>0</v>
      </c>
      <c r="G7" s="22" t="str">
        <f aca="false">IF(F7=0,"",(SUMIFS(Calcs!$V$4:$V$23,Calcs!$B$4:$B$23,$A7,Calcs!$D$4:$D$23,$B7)*LoadPeriods!$E$4+SUMIFS(Calcs!$W$4:$W$23,Calcs!$B$4:$B$23,$A7,Calcs!$D$4:$D$23,$B7)*LoadPeriods!$E$5+SUMIFS(Calcs!$X$4:$X$23,Calcs!$B$4:$B$23,$A7,Calcs!$D$4:$D$23,$B7)*LoadPeriods!$E$6)/(F7*Catalog!B5*Catalog!$B$40))</f>
        <v/>
      </c>
      <c r="H7" s="23" t="n">
        <f aca="false">IF(C7=0,0,SUMIFS(Calcs!$AB$4:$AB$23,Calcs!$B$4:$B$23,$A7,Calcs!$D$4:$D$23,$B7))</f>
        <v>0</v>
      </c>
      <c r="I7" s="23" t="n">
        <f aca="false">IF(F7=0,0,F7*INDEX(Catalog!$B$28:$B$30,MATCH($B7,Catalog!$A$28:$A$30,0))*Catalog!$B$40)</f>
        <v>0</v>
      </c>
      <c r="J7" s="23" t="n">
        <f aca="false">IF(F7=0,0,F7*INDEX(Catalog!$C$28:$C$30,MATCH($B7,Catalog!$A$28:$A$30,0)))</f>
        <v>0</v>
      </c>
      <c r="K7" s="23" t="n">
        <f aca="false">IF(F7=0,0,F7*INDEX(Catalog!$D$28:$D$30,MATCH($B7,Catalog!$A$28:$A$30,0))/12)</f>
        <v>0</v>
      </c>
      <c r="L7" s="9" t="str">
        <f aca="false">IF(C7=0,"",IF(J7&lt;=H7,"PTU","PayGO"))</f>
        <v/>
      </c>
    </row>
    <row r="8" customFormat="false" ht="15" hidden="false" customHeight="false" outlineLevel="0" collapsed="false">
      <c r="A8" s="21" t="str">
        <f aca="false">Catalog!A5</f>
        <v>gpt-5.4</v>
      </c>
      <c r="B8" s="9" t="s">
        <v>65</v>
      </c>
      <c r="C8" s="9" t="n">
        <f aca="false">COUNTIFS(Calcs!$B$4:$B$23,$A8,Calcs!$D$4:$D$23,$B8,Calcs!$A$4:$A$23,"&lt;&gt;")</f>
        <v>0</v>
      </c>
      <c r="D8" s="19" t="n">
        <f aca="false">IF(C8=0,0,MAX(SUMIFS(Calcs!$V$4:$V$23,Calcs!$B$4:$B$23,$A8,Calcs!$D$4:$D$23,$B8),SUMIFS(Calcs!$W$4:$W$23,Calcs!$B$4:$B$23,$A8,Calcs!$D$4:$D$23,$B8),SUMIFS(Calcs!$X$4:$X$23,Calcs!$B$4:$B$23,$A8,Calcs!$D$4:$D$23,$B8)))</f>
        <v>0</v>
      </c>
      <c r="E8" s="20" t="n">
        <f aca="false">IF(C8=0,0,D8/Catalog!B5)</f>
        <v>0</v>
      </c>
      <c r="F8" s="9" t="n">
        <f aca="false">IF(E8=0,0,IF(E8&lt;=IF($B8="Regional",Catalog!F5,Catalog!D5),IF($B8="Regional",Catalog!F5,Catalog!D5),IF($B8="Regional",Catalog!F5,Catalog!D5)+CEILING(E8-IF($B8="Regional",Catalog!F5,Catalog!D5),IF($B8="Regional",Catalog!G5,Catalog!E5))))</f>
        <v>0</v>
      </c>
      <c r="G8" s="22" t="str">
        <f aca="false">IF(F8=0,"",(SUMIFS(Calcs!$V$4:$V$23,Calcs!$B$4:$B$23,$A8,Calcs!$D$4:$D$23,$B8)*LoadPeriods!$E$4+SUMIFS(Calcs!$W$4:$W$23,Calcs!$B$4:$B$23,$A8,Calcs!$D$4:$D$23,$B8)*LoadPeriods!$E$5+SUMIFS(Calcs!$X$4:$X$23,Calcs!$B$4:$B$23,$A8,Calcs!$D$4:$D$23,$B8)*LoadPeriods!$E$6)/(F8*Catalog!B5*Catalog!$B$40))</f>
        <v/>
      </c>
      <c r="H8" s="23" t="n">
        <f aca="false">IF(C8=0,0,SUMIFS(Calcs!$AB$4:$AB$23,Calcs!$B$4:$B$23,$A8,Calcs!$D$4:$D$23,$B8))</f>
        <v>0</v>
      </c>
      <c r="I8" s="23" t="n">
        <f aca="false">IF(F8=0,0,F8*INDEX(Catalog!$B$28:$B$30,MATCH($B8,Catalog!$A$28:$A$30,0))*Catalog!$B$40)</f>
        <v>0</v>
      </c>
      <c r="J8" s="23" t="n">
        <f aca="false">IF(F8=0,0,F8*INDEX(Catalog!$C$28:$C$30,MATCH($B8,Catalog!$A$28:$A$30,0)))</f>
        <v>0</v>
      </c>
      <c r="K8" s="23" t="n">
        <f aca="false">IF(F8=0,0,F8*INDEX(Catalog!$D$28:$D$30,MATCH($B8,Catalog!$A$28:$A$30,0))/12)</f>
        <v>0</v>
      </c>
      <c r="L8" s="9" t="str">
        <f aca="false">IF(C8=0,"",IF(J8&lt;=H8,"PTU","PayGO"))</f>
        <v/>
      </c>
    </row>
    <row r="9" customFormat="false" ht="15" hidden="false" customHeight="false" outlineLevel="0" collapsed="false">
      <c r="A9" s="21" t="str">
        <f aca="false">Catalog!A5</f>
        <v>gpt-5.4</v>
      </c>
      <c r="B9" s="9" t="s">
        <v>66</v>
      </c>
      <c r="C9" s="9" t="n">
        <f aca="false">COUNTIFS(Calcs!$B$4:$B$23,$A9,Calcs!$D$4:$D$23,$B9,Calcs!$A$4:$A$23,"&lt;&gt;")</f>
        <v>0</v>
      </c>
      <c r="D9" s="19" t="n">
        <f aca="false">IF(C9=0,0,MAX(SUMIFS(Calcs!$V$4:$V$23,Calcs!$B$4:$B$23,$A9,Calcs!$D$4:$D$23,$B9),SUMIFS(Calcs!$W$4:$W$23,Calcs!$B$4:$B$23,$A9,Calcs!$D$4:$D$23,$B9),SUMIFS(Calcs!$X$4:$X$23,Calcs!$B$4:$B$23,$A9,Calcs!$D$4:$D$23,$B9)))</f>
        <v>0</v>
      </c>
      <c r="E9" s="20" t="n">
        <f aca="false">IF(C9=0,0,D9/Catalog!B5)</f>
        <v>0</v>
      </c>
      <c r="F9" s="9" t="n">
        <f aca="false">IF(E9=0,0,IF(E9&lt;=IF($B9="Regional",Catalog!F5,Catalog!D5),IF($B9="Regional",Catalog!F5,Catalog!D5),IF($B9="Regional",Catalog!F5,Catalog!D5)+CEILING(E9-IF($B9="Regional",Catalog!F5,Catalog!D5),IF($B9="Regional",Catalog!G5,Catalog!E5))))</f>
        <v>0</v>
      </c>
      <c r="G9" s="22" t="str">
        <f aca="false">IF(F9=0,"",(SUMIFS(Calcs!$V$4:$V$23,Calcs!$B$4:$B$23,$A9,Calcs!$D$4:$D$23,$B9)*LoadPeriods!$E$4+SUMIFS(Calcs!$W$4:$W$23,Calcs!$B$4:$B$23,$A9,Calcs!$D$4:$D$23,$B9)*LoadPeriods!$E$5+SUMIFS(Calcs!$X$4:$X$23,Calcs!$B$4:$B$23,$A9,Calcs!$D$4:$D$23,$B9)*LoadPeriods!$E$6)/(F9*Catalog!B5*Catalog!$B$40))</f>
        <v/>
      </c>
      <c r="H9" s="23" t="n">
        <f aca="false">IF(C9=0,0,SUMIFS(Calcs!$AB$4:$AB$23,Calcs!$B$4:$B$23,$A9,Calcs!$D$4:$D$23,$B9))</f>
        <v>0</v>
      </c>
      <c r="I9" s="23" t="n">
        <f aca="false">IF(F9=0,0,F9*INDEX(Catalog!$B$28:$B$30,MATCH($B9,Catalog!$A$28:$A$30,0))*Catalog!$B$40)</f>
        <v>0</v>
      </c>
      <c r="J9" s="23" t="n">
        <f aca="false">IF(F9=0,0,F9*INDEX(Catalog!$C$28:$C$30,MATCH($B9,Catalog!$A$28:$A$30,0)))</f>
        <v>0</v>
      </c>
      <c r="K9" s="23" t="n">
        <f aca="false">IF(F9=0,0,F9*INDEX(Catalog!$D$28:$D$30,MATCH($B9,Catalog!$A$28:$A$30,0))/12)</f>
        <v>0</v>
      </c>
      <c r="L9" s="9" t="str">
        <f aca="false">IF(C9=0,"",IF(J9&lt;=H9,"PTU","PayGO"))</f>
        <v/>
      </c>
    </row>
    <row r="10" customFormat="false" ht="15" hidden="false" customHeight="false" outlineLevel="0" collapsed="false">
      <c r="A10" s="21" t="str">
        <f aca="false">Catalog!A6</f>
        <v>gpt-5.4-mini</v>
      </c>
      <c r="B10" s="9" t="s">
        <v>64</v>
      </c>
      <c r="C10" s="9" t="n">
        <f aca="false">COUNTIFS(Calcs!$B$4:$B$23,$A10,Calcs!$D$4:$D$23,$B10,Calcs!$A$4:$A$23,"&lt;&gt;")</f>
        <v>0</v>
      </c>
      <c r="D10" s="19" t="n">
        <f aca="false">IF(C10=0,0,MAX(SUMIFS(Calcs!$V$4:$V$23,Calcs!$B$4:$B$23,$A10,Calcs!$D$4:$D$23,$B10),SUMIFS(Calcs!$W$4:$W$23,Calcs!$B$4:$B$23,$A10,Calcs!$D$4:$D$23,$B10),SUMIFS(Calcs!$X$4:$X$23,Calcs!$B$4:$B$23,$A10,Calcs!$D$4:$D$23,$B10)))</f>
        <v>0</v>
      </c>
      <c r="E10" s="20" t="n">
        <f aca="false">IF(C10=0,0,D10/Catalog!B6)</f>
        <v>0</v>
      </c>
      <c r="F10" s="9" t="n">
        <f aca="false">IF(E10=0,0,IF(E10&lt;=IF($B10="Regional",Catalog!F6,Catalog!D6),IF($B10="Regional",Catalog!F6,Catalog!D6),IF($B10="Regional",Catalog!F6,Catalog!D6)+CEILING(E10-IF($B10="Regional",Catalog!F6,Catalog!D6),IF($B10="Regional",Catalog!G6,Catalog!E6))))</f>
        <v>0</v>
      </c>
      <c r="G10" s="22" t="str">
        <f aca="false">IF(F10=0,"",(SUMIFS(Calcs!$V$4:$V$23,Calcs!$B$4:$B$23,$A10,Calcs!$D$4:$D$23,$B10)*LoadPeriods!$E$4+SUMIFS(Calcs!$W$4:$W$23,Calcs!$B$4:$B$23,$A10,Calcs!$D$4:$D$23,$B10)*LoadPeriods!$E$5+SUMIFS(Calcs!$X$4:$X$23,Calcs!$B$4:$B$23,$A10,Calcs!$D$4:$D$23,$B10)*LoadPeriods!$E$6)/(F10*Catalog!B6*Catalog!$B$40))</f>
        <v/>
      </c>
      <c r="H10" s="23" t="n">
        <f aca="false">IF(C10=0,0,SUMIFS(Calcs!$AB$4:$AB$23,Calcs!$B$4:$B$23,$A10,Calcs!$D$4:$D$23,$B10))</f>
        <v>0</v>
      </c>
      <c r="I10" s="23" t="n">
        <f aca="false">IF(F10=0,0,F10*INDEX(Catalog!$B$28:$B$30,MATCH($B10,Catalog!$A$28:$A$30,0))*Catalog!$B$40)</f>
        <v>0</v>
      </c>
      <c r="J10" s="23" t="n">
        <f aca="false">IF(F10=0,0,F10*INDEX(Catalog!$C$28:$C$30,MATCH($B10,Catalog!$A$28:$A$30,0)))</f>
        <v>0</v>
      </c>
      <c r="K10" s="23" t="n">
        <f aca="false">IF(F10=0,0,F10*INDEX(Catalog!$D$28:$D$30,MATCH($B10,Catalog!$A$28:$A$30,0))/12)</f>
        <v>0</v>
      </c>
      <c r="L10" s="9" t="str">
        <f aca="false">IF(C10=0,"",IF(J10&lt;=H10,"PTU","PayGO"))</f>
        <v/>
      </c>
    </row>
    <row r="11" customFormat="false" ht="15" hidden="false" customHeight="false" outlineLevel="0" collapsed="false">
      <c r="A11" s="21" t="str">
        <f aca="false">Catalog!A6</f>
        <v>gpt-5.4-mini</v>
      </c>
      <c r="B11" s="9" t="s">
        <v>65</v>
      </c>
      <c r="C11" s="9" t="n">
        <f aca="false">COUNTIFS(Calcs!$B$4:$B$23,$A11,Calcs!$D$4:$D$23,$B11,Calcs!$A$4:$A$23,"&lt;&gt;")</f>
        <v>0</v>
      </c>
      <c r="D11" s="19" t="n">
        <f aca="false">IF(C11=0,0,MAX(SUMIFS(Calcs!$V$4:$V$23,Calcs!$B$4:$B$23,$A11,Calcs!$D$4:$D$23,$B11),SUMIFS(Calcs!$W$4:$W$23,Calcs!$B$4:$B$23,$A11,Calcs!$D$4:$D$23,$B11),SUMIFS(Calcs!$X$4:$X$23,Calcs!$B$4:$B$23,$A11,Calcs!$D$4:$D$23,$B11)))</f>
        <v>0</v>
      </c>
      <c r="E11" s="20" t="n">
        <f aca="false">IF(C11=0,0,D11/Catalog!B6)</f>
        <v>0</v>
      </c>
      <c r="F11" s="9" t="n">
        <f aca="false">IF(E11=0,0,IF(E11&lt;=IF($B11="Regional",Catalog!F6,Catalog!D6),IF($B11="Regional",Catalog!F6,Catalog!D6),IF($B11="Regional",Catalog!F6,Catalog!D6)+CEILING(E11-IF($B11="Regional",Catalog!F6,Catalog!D6),IF($B11="Regional",Catalog!G6,Catalog!E6))))</f>
        <v>0</v>
      </c>
      <c r="G11" s="22" t="str">
        <f aca="false">IF(F11=0,"",(SUMIFS(Calcs!$V$4:$V$23,Calcs!$B$4:$B$23,$A11,Calcs!$D$4:$D$23,$B11)*LoadPeriods!$E$4+SUMIFS(Calcs!$W$4:$W$23,Calcs!$B$4:$B$23,$A11,Calcs!$D$4:$D$23,$B11)*LoadPeriods!$E$5+SUMIFS(Calcs!$X$4:$X$23,Calcs!$B$4:$B$23,$A11,Calcs!$D$4:$D$23,$B11)*LoadPeriods!$E$6)/(F11*Catalog!B6*Catalog!$B$40))</f>
        <v/>
      </c>
      <c r="H11" s="23" t="n">
        <f aca="false">IF(C11=0,0,SUMIFS(Calcs!$AB$4:$AB$23,Calcs!$B$4:$B$23,$A11,Calcs!$D$4:$D$23,$B11))</f>
        <v>0</v>
      </c>
      <c r="I11" s="23" t="n">
        <f aca="false">IF(F11=0,0,F11*INDEX(Catalog!$B$28:$B$30,MATCH($B11,Catalog!$A$28:$A$30,0))*Catalog!$B$40)</f>
        <v>0</v>
      </c>
      <c r="J11" s="23" t="n">
        <f aca="false">IF(F11=0,0,F11*INDEX(Catalog!$C$28:$C$30,MATCH($B11,Catalog!$A$28:$A$30,0)))</f>
        <v>0</v>
      </c>
      <c r="K11" s="23" t="n">
        <f aca="false">IF(F11=0,0,F11*INDEX(Catalog!$D$28:$D$30,MATCH($B11,Catalog!$A$28:$A$30,0))/12)</f>
        <v>0</v>
      </c>
      <c r="L11" s="9" t="str">
        <f aca="false">IF(C11=0,"",IF(J11&lt;=H11,"PTU","PayGO"))</f>
        <v/>
      </c>
    </row>
    <row r="12" customFormat="false" ht="15" hidden="false" customHeight="false" outlineLevel="0" collapsed="false">
      <c r="A12" s="21" t="str">
        <f aca="false">Catalog!A6</f>
        <v>gpt-5.4-mini</v>
      </c>
      <c r="B12" s="9" t="s">
        <v>66</v>
      </c>
      <c r="C12" s="9" t="n">
        <f aca="false">COUNTIFS(Calcs!$B$4:$B$23,$A12,Calcs!$D$4:$D$23,$B12,Calcs!$A$4:$A$23,"&lt;&gt;")</f>
        <v>0</v>
      </c>
      <c r="D12" s="19" t="n">
        <f aca="false">IF(C12=0,0,MAX(SUMIFS(Calcs!$V$4:$V$23,Calcs!$B$4:$B$23,$A12,Calcs!$D$4:$D$23,$B12),SUMIFS(Calcs!$W$4:$W$23,Calcs!$B$4:$B$23,$A12,Calcs!$D$4:$D$23,$B12),SUMIFS(Calcs!$X$4:$X$23,Calcs!$B$4:$B$23,$A12,Calcs!$D$4:$D$23,$B12)))</f>
        <v>0</v>
      </c>
      <c r="E12" s="20" t="n">
        <f aca="false">IF(C12=0,0,D12/Catalog!B6)</f>
        <v>0</v>
      </c>
      <c r="F12" s="9" t="n">
        <f aca="false">IF(E12=0,0,IF(E12&lt;=IF($B12="Regional",Catalog!F6,Catalog!D6),IF($B12="Regional",Catalog!F6,Catalog!D6),IF($B12="Regional",Catalog!F6,Catalog!D6)+CEILING(E12-IF($B12="Regional",Catalog!F6,Catalog!D6),IF($B12="Regional",Catalog!G6,Catalog!E6))))</f>
        <v>0</v>
      </c>
      <c r="G12" s="22" t="str">
        <f aca="false">IF(F12=0,"",(SUMIFS(Calcs!$V$4:$V$23,Calcs!$B$4:$B$23,$A12,Calcs!$D$4:$D$23,$B12)*LoadPeriods!$E$4+SUMIFS(Calcs!$W$4:$W$23,Calcs!$B$4:$B$23,$A12,Calcs!$D$4:$D$23,$B12)*LoadPeriods!$E$5+SUMIFS(Calcs!$X$4:$X$23,Calcs!$B$4:$B$23,$A12,Calcs!$D$4:$D$23,$B12)*LoadPeriods!$E$6)/(F12*Catalog!B6*Catalog!$B$40))</f>
        <v/>
      </c>
      <c r="H12" s="23" t="n">
        <f aca="false">IF(C12=0,0,SUMIFS(Calcs!$AB$4:$AB$23,Calcs!$B$4:$B$23,$A12,Calcs!$D$4:$D$23,$B12))</f>
        <v>0</v>
      </c>
      <c r="I12" s="23" t="n">
        <f aca="false">IF(F12=0,0,F12*INDEX(Catalog!$B$28:$B$30,MATCH($B12,Catalog!$A$28:$A$30,0))*Catalog!$B$40)</f>
        <v>0</v>
      </c>
      <c r="J12" s="23" t="n">
        <f aca="false">IF(F12=0,0,F12*INDEX(Catalog!$C$28:$C$30,MATCH($B12,Catalog!$A$28:$A$30,0)))</f>
        <v>0</v>
      </c>
      <c r="K12" s="23" t="n">
        <f aca="false">IF(F12=0,0,F12*INDEX(Catalog!$D$28:$D$30,MATCH($B12,Catalog!$A$28:$A$30,0))/12)</f>
        <v>0</v>
      </c>
      <c r="L12" s="9" t="str">
        <f aca="false">IF(C12=0,"",IF(J12&lt;=H12,"PTU","PayGO"))</f>
        <v/>
      </c>
    </row>
    <row r="13" customFormat="false" ht="15" hidden="false" customHeight="false" outlineLevel="0" collapsed="false">
      <c r="A13" s="21" t="str">
        <f aca="false">Catalog!A7</f>
        <v>gpt-5.2</v>
      </c>
      <c r="B13" s="9" t="s">
        <v>64</v>
      </c>
      <c r="C13" s="9" t="n">
        <f aca="false">COUNTIFS(Calcs!$B$4:$B$23,$A13,Calcs!$D$4:$D$23,$B13,Calcs!$A$4:$A$23,"&lt;&gt;")</f>
        <v>0</v>
      </c>
      <c r="D13" s="19" t="n">
        <f aca="false">IF(C13=0,0,MAX(SUMIFS(Calcs!$V$4:$V$23,Calcs!$B$4:$B$23,$A13,Calcs!$D$4:$D$23,$B13),SUMIFS(Calcs!$W$4:$W$23,Calcs!$B$4:$B$23,$A13,Calcs!$D$4:$D$23,$B13),SUMIFS(Calcs!$X$4:$X$23,Calcs!$B$4:$B$23,$A13,Calcs!$D$4:$D$23,$B13)))</f>
        <v>0</v>
      </c>
      <c r="E13" s="20" t="n">
        <f aca="false">IF(C13=0,0,D13/Catalog!B7)</f>
        <v>0</v>
      </c>
      <c r="F13" s="9" t="n">
        <f aca="false">IF(E13=0,0,IF(E13&lt;=IF($B13="Regional",Catalog!F7,Catalog!D7),IF($B13="Regional",Catalog!F7,Catalog!D7),IF($B13="Regional",Catalog!F7,Catalog!D7)+CEILING(E13-IF($B13="Regional",Catalog!F7,Catalog!D7),IF($B13="Regional",Catalog!G7,Catalog!E7))))</f>
        <v>0</v>
      </c>
      <c r="G13" s="22" t="str">
        <f aca="false">IF(F13=0,"",(SUMIFS(Calcs!$V$4:$V$23,Calcs!$B$4:$B$23,$A13,Calcs!$D$4:$D$23,$B13)*LoadPeriods!$E$4+SUMIFS(Calcs!$W$4:$W$23,Calcs!$B$4:$B$23,$A13,Calcs!$D$4:$D$23,$B13)*LoadPeriods!$E$5+SUMIFS(Calcs!$X$4:$X$23,Calcs!$B$4:$B$23,$A13,Calcs!$D$4:$D$23,$B13)*LoadPeriods!$E$6)/(F13*Catalog!B7*Catalog!$B$40))</f>
        <v/>
      </c>
      <c r="H13" s="23" t="n">
        <f aca="false">IF(C13=0,0,SUMIFS(Calcs!$AB$4:$AB$23,Calcs!$B$4:$B$23,$A13,Calcs!$D$4:$D$23,$B13))</f>
        <v>0</v>
      </c>
      <c r="I13" s="23" t="n">
        <f aca="false">IF(F13=0,0,F13*INDEX(Catalog!$B$28:$B$30,MATCH($B13,Catalog!$A$28:$A$30,0))*Catalog!$B$40)</f>
        <v>0</v>
      </c>
      <c r="J13" s="23" t="n">
        <f aca="false">IF(F13=0,0,F13*INDEX(Catalog!$C$28:$C$30,MATCH($B13,Catalog!$A$28:$A$30,0)))</f>
        <v>0</v>
      </c>
      <c r="K13" s="23" t="n">
        <f aca="false">IF(F13=0,0,F13*INDEX(Catalog!$D$28:$D$30,MATCH($B13,Catalog!$A$28:$A$30,0))/12)</f>
        <v>0</v>
      </c>
      <c r="L13" s="9" t="str">
        <f aca="false">IF(C13=0,"",IF(J13&lt;=H13,"PTU","PayGO"))</f>
        <v/>
      </c>
    </row>
    <row r="14" customFormat="false" ht="15" hidden="false" customHeight="false" outlineLevel="0" collapsed="false">
      <c r="A14" s="21" t="str">
        <f aca="false">Catalog!A7</f>
        <v>gpt-5.2</v>
      </c>
      <c r="B14" s="9" t="s">
        <v>65</v>
      </c>
      <c r="C14" s="9" t="n">
        <f aca="false">COUNTIFS(Calcs!$B$4:$B$23,$A14,Calcs!$D$4:$D$23,$B14,Calcs!$A$4:$A$23,"&lt;&gt;")</f>
        <v>0</v>
      </c>
      <c r="D14" s="19" t="n">
        <f aca="false">IF(C14=0,0,MAX(SUMIFS(Calcs!$V$4:$V$23,Calcs!$B$4:$B$23,$A14,Calcs!$D$4:$D$23,$B14),SUMIFS(Calcs!$W$4:$W$23,Calcs!$B$4:$B$23,$A14,Calcs!$D$4:$D$23,$B14),SUMIFS(Calcs!$X$4:$X$23,Calcs!$B$4:$B$23,$A14,Calcs!$D$4:$D$23,$B14)))</f>
        <v>0</v>
      </c>
      <c r="E14" s="20" t="n">
        <f aca="false">IF(C14=0,0,D14/Catalog!B7)</f>
        <v>0</v>
      </c>
      <c r="F14" s="9" t="n">
        <f aca="false">IF(E14=0,0,IF(E14&lt;=IF($B14="Regional",Catalog!F7,Catalog!D7),IF($B14="Regional",Catalog!F7,Catalog!D7),IF($B14="Regional",Catalog!F7,Catalog!D7)+CEILING(E14-IF($B14="Regional",Catalog!F7,Catalog!D7),IF($B14="Regional",Catalog!G7,Catalog!E7))))</f>
        <v>0</v>
      </c>
      <c r="G14" s="22" t="str">
        <f aca="false">IF(F14=0,"",(SUMIFS(Calcs!$V$4:$V$23,Calcs!$B$4:$B$23,$A14,Calcs!$D$4:$D$23,$B14)*LoadPeriods!$E$4+SUMIFS(Calcs!$W$4:$W$23,Calcs!$B$4:$B$23,$A14,Calcs!$D$4:$D$23,$B14)*LoadPeriods!$E$5+SUMIFS(Calcs!$X$4:$X$23,Calcs!$B$4:$B$23,$A14,Calcs!$D$4:$D$23,$B14)*LoadPeriods!$E$6)/(F14*Catalog!B7*Catalog!$B$40))</f>
        <v/>
      </c>
      <c r="H14" s="23" t="n">
        <f aca="false">IF(C14=0,0,SUMIFS(Calcs!$AB$4:$AB$23,Calcs!$B$4:$B$23,$A14,Calcs!$D$4:$D$23,$B14))</f>
        <v>0</v>
      </c>
      <c r="I14" s="23" t="n">
        <f aca="false">IF(F14=0,0,F14*INDEX(Catalog!$B$28:$B$30,MATCH($B14,Catalog!$A$28:$A$30,0))*Catalog!$B$40)</f>
        <v>0</v>
      </c>
      <c r="J14" s="23" t="n">
        <f aca="false">IF(F14=0,0,F14*INDEX(Catalog!$C$28:$C$30,MATCH($B14,Catalog!$A$28:$A$30,0)))</f>
        <v>0</v>
      </c>
      <c r="K14" s="23" t="n">
        <f aca="false">IF(F14=0,0,F14*INDEX(Catalog!$D$28:$D$30,MATCH($B14,Catalog!$A$28:$A$30,0))/12)</f>
        <v>0</v>
      </c>
      <c r="L14" s="9" t="str">
        <f aca="false">IF(C14=0,"",IF(J14&lt;=H14,"PTU","PayGO"))</f>
        <v/>
      </c>
    </row>
    <row r="15" customFormat="false" ht="15" hidden="false" customHeight="false" outlineLevel="0" collapsed="false">
      <c r="A15" s="21" t="str">
        <f aca="false">Catalog!A7</f>
        <v>gpt-5.2</v>
      </c>
      <c r="B15" s="9" t="s">
        <v>66</v>
      </c>
      <c r="C15" s="9" t="n">
        <f aca="false">COUNTIFS(Calcs!$B$4:$B$23,$A15,Calcs!$D$4:$D$23,$B15,Calcs!$A$4:$A$23,"&lt;&gt;")</f>
        <v>0</v>
      </c>
      <c r="D15" s="19" t="n">
        <f aca="false">IF(C15=0,0,MAX(SUMIFS(Calcs!$V$4:$V$23,Calcs!$B$4:$B$23,$A15,Calcs!$D$4:$D$23,$B15),SUMIFS(Calcs!$W$4:$W$23,Calcs!$B$4:$B$23,$A15,Calcs!$D$4:$D$23,$B15),SUMIFS(Calcs!$X$4:$X$23,Calcs!$B$4:$B$23,$A15,Calcs!$D$4:$D$23,$B15)))</f>
        <v>0</v>
      </c>
      <c r="E15" s="20" t="n">
        <f aca="false">IF(C15=0,0,D15/Catalog!B7)</f>
        <v>0</v>
      </c>
      <c r="F15" s="9" t="n">
        <f aca="false">IF(E15=0,0,IF(E15&lt;=IF($B15="Regional",Catalog!F7,Catalog!D7),IF($B15="Regional",Catalog!F7,Catalog!D7),IF($B15="Regional",Catalog!F7,Catalog!D7)+CEILING(E15-IF($B15="Regional",Catalog!F7,Catalog!D7),IF($B15="Regional",Catalog!G7,Catalog!E7))))</f>
        <v>0</v>
      </c>
      <c r="G15" s="22" t="str">
        <f aca="false">IF(F15=0,"",(SUMIFS(Calcs!$V$4:$V$23,Calcs!$B$4:$B$23,$A15,Calcs!$D$4:$D$23,$B15)*LoadPeriods!$E$4+SUMIFS(Calcs!$W$4:$W$23,Calcs!$B$4:$B$23,$A15,Calcs!$D$4:$D$23,$B15)*LoadPeriods!$E$5+SUMIFS(Calcs!$X$4:$X$23,Calcs!$B$4:$B$23,$A15,Calcs!$D$4:$D$23,$B15)*LoadPeriods!$E$6)/(F15*Catalog!B7*Catalog!$B$40))</f>
        <v/>
      </c>
      <c r="H15" s="23" t="n">
        <f aca="false">IF(C15=0,0,SUMIFS(Calcs!$AB$4:$AB$23,Calcs!$B$4:$B$23,$A15,Calcs!$D$4:$D$23,$B15))</f>
        <v>0</v>
      </c>
      <c r="I15" s="23" t="n">
        <f aca="false">IF(F15=0,0,F15*INDEX(Catalog!$B$28:$B$30,MATCH($B15,Catalog!$A$28:$A$30,0))*Catalog!$B$40)</f>
        <v>0</v>
      </c>
      <c r="J15" s="23" t="n">
        <f aca="false">IF(F15=0,0,F15*INDEX(Catalog!$C$28:$C$30,MATCH($B15,Catalog!$A$28:$A$30,0)))</f>
        <v>0</v>
      </c>
      <c r="K15" s="23" t="n">
        <f aca="false">IF(F15=0,0,F15*INDEX(Catalog!$D$28:$D$30,MATCH($B15,Catalog!$A$28:$A$30,0))/12)</f>
        <v>0</v>
      </c>
      <c r="L15" s="9" t="str">
        <f aca="false">IF(C15=0,"",IF(J15&lt;=H15,"PTU","PayGO"))</f>
        <v/>
      </c>
    </row>
    <row r="16" customFormat="false" ht="15" hidden="false" customHeight="false" outlineLevel="0" collapsed="false">
      <c r="A16" s="21" t="str">
        <f aca="false">Catalog!A8</f>
        <v>gpt-5.1</v>
      </c>
      <c r="B16" s="9" t="s">
        <v>64</v>
      </c>
      <c r="C16" s="9" t="n">
        <f aca="false">COUNTIFS(Calcs!$B$4:$B$23,$A16,Calcs!$D$4:$D$23,$B16,Calcs!$A$4:$A$23,"&lt;&gt;")</f>
        <v>0</v>
      </c>
      <c r="D16" s="19" t="n">
        <f aca="false">IF(C16=0,0,MAX(SUMIFS(Calcs!$V$4:$V$23,Calcs!$B$4:$B$23,$A16,Calcs!$D$4:$D$23,$B16),SUMIFS(Calcs!$W$4:$W$23,Calcs!$B$4:$B$23,$A16,Calcs!$D$4:$D$23,$B16),SUMIFS(Calcs!$X$4:$X$23,Calcs!$B$4:$B$23,$A16,Calcs!$D$4:$D$23,$B16)))</f>
        <v>0</v>
      </c>
      <c r="E16" s="20" t="n">
        <f aca="false">IF(C16=0,0,D16/Catalog!B8)</f>
        <v>0</v>
      </c>
      <c r="F16" s="9" t="n">
        <f aca="false">IF(E16=0,0,IF(E16&lt;=IF($B16="Regional",Catalog!F8,Catalog!D8),IF($B16="Regional",Catalog!F8,Catalog!D8),IF($B16="Regional",Catalog!F8,Catalog!D8)+CEILING(E16-IF($B16="Regional",Catalog!F8,Catalog!D8),IF($B16="Regional",Catalog!G8,Catalog!E8))))</f>
        <v>0</v>
      </c>
      <c r="G16" s="22" t="str">
        <f aca="false">IF(F16=0,"",(SUMIFS(Calcs!$V$4:$V$23,Calcs!$B$4:$B$23,$A16,Calcs!$D$4:$D$23,$B16)*LoadPeriods!$E$4+SUMIFS(Calcs!$W$4:$W$23,Calcs!$B$4:$B$23,$A16,Calcs!$D$4:$D$23,$B16)*LoadPeriods!$E$5+SUMIFS(Calcs!$X$4:$X$23,Calcs!$B$4:$B$23,$A16,Calcs!$D$4:$D$23,$B16)*LoadPeriods!$E$6)/(F16*Catalog!B8*Catalog!$B$40))</f>
        <v/>
      </c>
      <c r="H16" s="23" t="n">
        <f aca="false">IF(C16=0,0,SUMIFS(Calcs!$AB$4:$AB$23,Calcs!$B$4:$B$23,$A16,Calcs!$D$4:$D$23,$B16))</f>
        <v>0</v>
      </c>
      <c r="I16" s="23" t="n">
        <f aca="false">IF(F16=0,0,F16*INDEX(Catalog!$B$28:$B$30,MATCH($B16,Catalog!$A$28:$A$30,0))*Catalog!$B$40)</f>
        <v>0</v>
      </c>
      <c r="J16" s="23" t="n">
        <f aca="false">IF(F16=0,0,F16*INDEX(Catalog!$C$28:$C$30,MATCH($B16,Catalog!$A$28:$A$30,0)))</f>
        <v>0</v>
      </c>
      <c r="K16" s="23" t="n">
        <f aca="false">IF(F16=0,0,F16*INDEX(Catalog!$D$28:$D$30,MATCH($B16,Catalog!$A$28:$A$30,0))/12)</f>
        <v>0</v>
      </c>
      <c r="L16" s="9" t="str">
        <f aca="false">IF(C16=0,"",IF(J16&lt;=H16,"PTU","PayGO"))</f>
        <v/>
      </c>
    </row>
    <row r="17" customFormat="false" ht="15" hidden="false" customHeight="false" outlineLevel="0" collapsed="false">
      <c r="A17" s="21" t="str">
        <f aca="false">Catalog!A8</f>
        <v>gpt-5.1</v>
      </c>
      <c r="B17" s="9" t="s">
        <v>65</v>
      </c>
      <c r="C17" s="9" t="n">
        <f aca="false">COUNTIFS(Calcs!$B$4:$B$23,$A17,Calcs!$D$4:$D$23,$B17,Calcs!$A$4:$A$23,"&lt;&gt;")</f>
        <v>0</v>
      </c>
      <c r="D17" s="19" t="n">
        <f aca="false">IF(C17=0,0,MAX(SUMIFS(Calcs!$V$4:$V$23,Calcs!$B$4:$B$23,$A17,Calcs!$D$4:$D$23,$B17),SUMIFS(Calcs!$W$4:$W$23,Calcs!$B$4:$B$23,$A17,Calcs!$D$4:$D$23,$B17),SUMIFS(Calcs!$X$4:$X$23,Calcs!$B$4:$B$23,$A17,Calcs!$D$4:$D$23,$B17)))</f>
        <v>0</v>
      </c>
      <c r="E17" s="20" t="n">
        <f aca="false">IF(C17=0,0,D17/Catalog!B8)</f>
        <v>0</v>
      </c>
      <c r="F17" s="9" t="n">
        <f aca="false">IF(E17=0,0,IF(E17&lt;=IF($B17="Regional",Catalog!F8,Catalog!D8),IF($B17="Regional",Catalog!F8,Catalog!D8),IF($B17="Regional",Catalog!F8,Catalog!D8)+CEILING(E17-IF($B17="Regional",Catalog!F8,Catalog!D8),IF($B17="Regional",Catalog!G8,Catalog!E8))))</f>
        <v>0</v>
      </c>
      <c r="G17" s="22" t="str">
        <f aca="false">IF(F17=0,"",(SUMIFS(Calcs!$V$4:$V$23,Calcs!$B$4:$B$23,$A17,Calcs!$D$4:$D$23,$B17)*LoadPeriods!$E$4+SUMIFS(Calcs!$W$4:$W$23,Calcs!$B$4:$B$23,$A17,Calcs!$D$4:$D$23,$B17)*LoadPeriods!$E$5+SUMIFS(Calcs!$X$4:$X$23,Calcs!$B$4:$B$23,$A17,Calcs!$D$4:$D$23,$B17)*LoadPeriods!$E$6)/(F17*Catalog!B8*Catalog!$B$40))</f>
        <v/>
      </c>
      <c r="H17" s="23" t="n">
        <f aca="false">IF(C17=0,0,SUMIFS(Calcs!$AB$4:$AB$23,Calcs!$B$4:$B$23,$A17,Calcs!$D$4:$D$23,$B17))</f>
        <v>0</v>
      </c>
      <c r="I17" s="23" t="n">
        <f aca="false">IF(F17=0,0,F17*INDEX(Catalog!$B$28:$B$30,MATCH($B17,Catalog!$A$28:$A$30,0))*Catalog!$B$40)</f>
        <v>0</v>
      </c>
      <c r="J17" s="23" t="n">
        <f aca="false">IF(F17=0,0,F17*INDEX(Catalog!$C$28:$C$30,MATCH($B17,Catalog!$A$28:$A$30,0)))</f>
        <v>0</v>
      </c>
      <c r="K17" s="23" t="n">
        <f aca="false">IF(F17=0,0,F17*INDEX(Catalog!$D$28:$D$30,MATCH($B17,Catalog!$A$28:$A$30,0))/12)</f>
        <v>0</v>
      </c>
      <c r="L17" s="9" t="str">
        <f aca="false">IF(C17=0,"",IF(J17&lt;=H17,"PTU","PayGO"))</f>
        <v/>
      </c>
    </row>
    <row r="18" customFormat="false" ht="15" hidden="false" customHeight="false" outlineLevel="0" collapsed="false">
      <c r="A18" s="21" t="str">
        <f aca="false">Catalog!A8</f>
        <v>gpt-5.1</v>
      </c>
      <c r="B18" s="9" t="s">
        <v>66</v>
      </c>
      <c r="C18" s="9" t="n">
        <f aca="false">COUNTIFS(Calcs!$B$4:$B$23,$A18,Calcs!$D$4:$D$23,$B18,Calcs!$A$4:$A$23,"&lt;&gt;")</f>
        <v>0</v>
      </c>
      <c r="D18" s="19" t="n">
        <f aca="false">IF(C18=0,0,MAX(SUMIFS(Calcs!$V$4:$V$23,Calcs!$B$4:$B$23,$A18,Calcs!$D$4:$D$23,$B18),SUMIFS(Calcs!$W$4:$W$23,Calcs!$B$4:$B$23,$A18,Calcs!$D$4:$D$23,$B18),SUMIFS(Calcs!$X$4:$X$23,Calcs!$B$4:$B$23,$A18,Calcs!$D$4:$D$23,$B18)))</f>
        <v>0</v>
      </c>
      <c r="E18" s="20" t="n">
        <f aca="false">IF(C18=0,0,D18/Catalog!B8)</f>
        <v>0</v>
      </c>
      <c r="F18" s="9" t="n">
        <f aca="false">IF(E18=0,0,IF(E18&lt;=IF($B18="Regional",Catalog!F8,Catalog!D8),IF($B18="Regional",Catalog!F8,Catalog!D8),IF($B18="Regional",Catalog!F8,Catalog!D8)+CEILING(E18-IF($B18="Regional",Catalog!F8,Catalog!D8),IF($B18="Regional",Catalog!G8,Catalog!E8))))</f>
        <v>0</v>
      </c>
      <c r="G18" s="22" t="str">
        <f aca="false">IF(F18=0,"",(SUMIFS(Calcs!$V$4:$V$23,Calcs!$B$4:$B$23,$A18,Calcs!$D$4:$D$23,$B18)*LoadPeriods!$E$4+SUMIFS(Calcs!$W$4:$W$23,Calcs!$B$4:$B$23,$A18,Calcs!$D$4:$D$23,$B18)*LoadPeriods!$E$5+SUMIFS(Calcs!$X$4:$X$23,Calcs!$B$4:$B$23,$A18,Calcs!$D$4:$D$23,$B18)*LoadPeriods!$E$6)/(F18*Catalog!B8*Catalog!$B$40))</f>
        <v/>
      </c>
      <c r="H18" s="23" t="n">
        <f aca="false">IF(C18=0,0,SUMIFS(Calcs!$AB$4:$AB$23,Calcs!$B$4:$B$23,$A18,Calcs!$D$4:$D$23,$B18))</f>
        <v>0</v>
      </c>
      <c r="I18" s="23" t="n">
        <f aca="false">IF(F18=0,0,F18*INDEX(Catalog!$B$28:$B$30,MATCH($B18,Catalog!$A$28:$A$30,0))*Catalog!$B$40)</f>
        <v>0</v>
      </c>
      <c r="J18" s="23" t="n">
        <f aca="false">IF(F18=0,0,F18*INDEX(Catalog!$C$28:$C$30,MATCH($B18,Catalog!$A$28:$A$30,0)))</f>
        <v>0</v>
      </c>
      <c r="K18" s="23" t="n">
        <f aca="false">IF(F18=0,0,F18*INDEX(Catalog!$D$28:$D$30,MATCH($B18,Catalog!$A$28:$A$30,0))/12)</f>
        <v>0</v>
      </c>
      <c r="L18" s="9" t="str">
        <f aca="false">IF(C18=0,"",IF(J18&lt;=H18,"PTU","PayGO"))</f>
        <v/>
      </c>
    </row>
    <row r="19" customFormat="false" ht="15" hidden="false" customHeight="false" outlineLevel="0" collapsed="false">
      <c r="A19" s="21" t="str">
        <f aca="false">Catalog!A9</f>
        <v>gpt-5</v>
      </c>
      <c r="B19" s="9" t="s">
        <v>64</v>
      </c>
      <c r="C19" s="9" t="n">
        <f aca="false">COUNTIFS(Calcs!$B$4:$B$23,$A19,Calcs!$D$4:$D$23,$B19,Calcs!$A$4:$A$23,"&lt;&gt;")</f>
        <v>2</v>
      </c>
      <c r="D19" s="19" t="n">
        <f aca="false">IF(C19=0,0,MAX(SUMIFS(Calcs!$V$4:$V$23,Calcs!$B$4:$B$23,$A19,Calcs!$D$4:$D$23,$B19),SUMIFS(Calcs!$W$4:$W$23,Calcs!$B$4:$B$23,$A19,Calcs!$D$4:$D$23,$B19),SUMIFS(Calcs!$X$4:$X$23,Calcs!$B$4:$B$23,$A19,Calcs!$D$4:$D$23,$B19)))</f>
        <v>881250</v>
      </c>
      <c r="E19" s="20" t="n">
        <f aca="false">IF(C19=0,0,D19/Catalog!B9)</f>
        <v>185.526315789474</v>
      </c>
      <c r="F19" s="9" t="n">
        <f aca="false">IF(E19=0,0,IF(E19&lt;=IF($B19="Regional",Catalog!F9,Catalog!D9),IF($B19="Regional",Catalog!F9,Catalog!D9),IF($B19="Regional",Catalog!F9,Catalog!D9)+CEILING(E19-IF($B19="Regional",Catalog!F9,Catalog!D9),IF($B19="Regional",Catalog!G9,Catalog!E9))))</f>
        <v>190</v>
      </c>
      <c r="G19" s="22" t="n">
        <f aca="false">IF(F19=0,"",(SUMIFS(Calcs!$V$4:$V$23,Calcs!$B$4:$B$23,$A19,Calcs!$D$4:$D$23,$B19)*LoadPeriods!$E$4+SUMIFS(Calcs!$W$4:$W$23,Calcs!$B$4:$B$23,$A19,Calcs!$D$4:$D$23,$B19)*LoadPeriods!$E$5+SUMIFS(Calcs!$X$4:$X$23,Calcs!$B$4:$B$23,$A19,Calcs!$D$4:$D$23,$B19)*LoadPeriods!$E$6)/(F19*Catalog!B9*Catalog!$B$40))</f>
        <v>0.382057116475399</v>
      </c>
      <c r="H19" s="23" t="n">
        <f aca="false">IF(C19=0,0,SUMIFS(Calcs!$AB$4:$AB$23,Calcs!$B$4:$B$23,$A19,Calcs!$D$4:$D$23,$B19))</f>
        <v>19140.2903236607</v>
      </c>
      <c r="I19" s="23" t="n">
        <f aca="false">IF(F19=0,0,F19*INDEX(Catalog!$B$28:$B$30,MATCH($B19,Catalog!$A$28:$A$30,0))*Catalog!$B$40)</f>
        <v>138795</v>
      </c>
      <c r="J19" s="23" t="n">
        <f aca="false">IF(F19=0,0,F19*INDEX(Catalog!$C$28:$C$30,MATCH($B19,Catalog!$A$28:$A$30,0)))</f>
        <v>49400</v>
      </c>
      <c r="K19" s="23" t="n">
        <f aca="false">IF(F19=0,0,F19*INDEX(Catalog!$D$28:$D$30,MATCH($B19,Catalog!$A$28:$A$30,0))/12)</f>
        <v>41990</v>
      </c>
      <c r="L19" s="9" t="str">
        <f aca="false">IF(C19=0,"",IF(J19&lt;=H19,"PTU","PayGO"))</f>
        <v>PayGO</v>
      </c>
    </row>
    <row r="20" customFormat="false" ht="15" hidden="false" customHeight="false" outlineLevel="0" collapsed="false">
      <c r="A20" s="21" t="str">
        <f aca="false">Catalog!A9</f>
        <v>gpt-5</v>
      </c>
      <c r="B20" s="9" t="s">
        <v>65</v>
      </c>
      <c r="C20" s="9" t="n">
        <f aca="false">COUNTIFS(Calcs!$B$4:$B$23,$A20,Calcs!$D$4:$D$23,$B20,Calcs!$A$4:$A$23,"&lt;&gt;")</f>
        <v>0</v>
      </c>
      <c r="D20" s="19" t="n">
        <f aca="false">IF(C20=0,0,MAX(SUMIFS(Calcs!$V$4:$V$23,Calcs!$B$4:$B$23,$A20,Calcs!$D$4:$D$23,$B20),SUMIFS(Calcs!$W$4:$W$23,Calcs!$B$4:$B$23,$A20,Calcs!$D$4:$D$23,$B20),SUMIFS(Calcs!$X$4:$X$23,Calcs!$B$4:$B$23,$A20,Calcs!$D$4:$D$23,$B20)))</f>
        <v>0</v>
      </c>
      <c r="E20" s="20" t="n">
        <f aca="false">IF(C20=0,0,D20/Catalog!B9)</f>
        <v>0</v>
      </c>
      <c r="F20" s="9" t="n">
        <f aca="false">IF(E20=0,0,IF(E20&lt;=IF($B20="Regional",Catalog!F9,Catalog!D9),IF($B20="Regional",Catalog!F9,Catalog!D9),IF($B20="Regional",Catalog!F9,Catalog!D9)+CEILING(E20-IF($B20="Regional",Catalog!F9,Catalog!D9),IF($B20="Regional",Catalog!G9,Catalog!E9))))</f>
        <v>0</v>
      </c>
      <c r="G20" s="22" t="str">
        <f aca="false">IF(F20=0,"",(SUMIFS(Calcs!$V$4:$V$23,Calcs!$B$4:$B$23,$A20,Calcs!$D$4:$D$23,$B20)*LoadPeriods!$E$4+SUMIFS(Calcs!$W$4:$W$23,Calcs!$B$4:$B$23,$A20,Calcs!$D$4:$D$23,$B20)*LoadPeriods!$E$5+SUMIFS(Calcs!$X$4:$X$23,Calcs!$B$4:$B$23,$A20,Calcs!$D$4:$D$23,$B20)*LoadPeriods!$E$6)/(F20*Catalog!B9*Catalog!$B$40))</f>
        <v/>
      </c>
      <c r="H20" s="23" t="n">
        <f aca="false">IF(C20=0,0,SUMIFS(Calcs!$AB$4:$AB$23,Calcs!$B$4:$B$23,$A20,Calcs!$D$4:$D$23,$B20))</f>
        <v>0</v>
      </c>
      <c r="I20" s="23" t="n">
        <f aca="false">IF(F20=0,0,F20*INDEX(Catalog!$B$28:$B$30,MATCH($B20,Catalog!$A$28:$A$30,0))*Catalog!$B$40)</f>
        <v>0</v>
      </c>
      <c r="J20" s="23" t="n">
        <f aca="false">IF(F20=0,0,F20*INDEX(Catalog!$C$28:$C$30,MATCH($B20,Catalog!$A$28:$A$30,0)))</f>
        <v>0</v>
      </c>
      <c r="K20" s="23" t="n">
        <f aca="false">IF(F20=0,0,F20*INDEX(Catalog!$D$28:$D$30,MATCH($B20,Catalog!$A$28:$A$30,0))/12)</f>
        <v>0</v>
      </c>
      <c r="L20" s="9" t="str">
        <f aca="false">IF(C20=0,"",IF(J20&lt;=H20,"PTU","PayGO"))</f>
        <v/>
      </c>
    </row>
    <row r="21" customFormat="false" ht="15" hidden="false" customHeight="false" outlineLevel="0" collapsed="false">
      <c r="A21" s="21" t="str">
        <f aca="false">Catalog!A9</f>
        <v>gpt-5</v>
      </c>
      <c r="B21" s="9" t="s">
        <v>66</v>
      </c>
      <c r="C21" s="9" t="n">
        <f aca="false">COUNTIFS(Calcs!$B$4:$B$23,$A21,Calcs!$D$4:$D$23,$B21,Calcs!$A$4:$A$23,"&lt;&gt;")</f>
        <v>0</v>
      </c>
      <c r="D21" s="19" t="n">
        <f aca="false">IF(C21=0,0,MAX(SUMIFS(Calcs!$V$4:$V$23,Calcs!$B$4:$B$23,$A21,Calcs!$D$4:$D$23,$B21),SUMIFS(Calcs!$W$4:$W$23,Calcs!$B$4:$B$23,$A21,Calcs!$D$4:$D$23,$B21),SUMIFS(Calcs!$X$4:$X$23,Calcs!$B$4:$B$23,$A21,Calcs!$D$4:$D$23,$B21)))</f>
        <v>0</v>
      </c>
      <c r="E21" s="20" t="n">
        <f aca="false">IF(C21=0,0,D21/Catalog!B9)</f>
        <v>0</v>
      </c>
      <c r="F21" s="9" t="n">
        <f aca="false">IF(E21=0,0,IF(E21&lt;=IF($B21="Regional",Catalog!F9,Catalog!D9),IF($B21="Regional",Catalog!F9,Catalog!D9),IF($B21="Regional",Catalog!F9,Catalog!D9)+CEILING(E21-IF($B21="Regional",Catalog!F9,Catalog!D9),IF($B21="Regional",Catalog!G9,Catalog!E9))))</f>
        <v>0</v>
      </c>
      <c r="G21" s="22" t="str">
        <f aca="false">IF(F21=0,"",(SUMIFS(Calcs!$V$4:$V$23,Calcs!$B$4:$B$23,$A21,Calcs!$D$4:$D$23,$B21)*LoadPeriods!$E$4+SUMIFS(Calcs!$W$4:$W$23,Calcs!$B$4:$B$23,$A21,Calcs!$D$4:$D$23,$B21)*LoadPeriods!$E$5+SUMIFS(Calcs!$X$4:$X$23,Calcs!$B$4:$B$23,$A21,Calcs!$D$4:$D$23,$B21)*LoadPeriods!$E$6)/(F21*Catalog!B9*Catalog!$B$40))</f>
        <v/>
      </c>
      <c r="H21" s="23" t="n">
        <f aca="false">IF(C21=0,0,SUMIFS(Calcs!$AB$4:$AB$23,Calcs!$B$4:$B$23,$A21,Calcs!$D$4:$D$23,$B21))</f>
        <v>0</v>
      </c>
      <c r="I21" s="23" t="n">
        <f aca="false">IF(F21=0,0,F21*INDEX(Catalog!$B$28:$B$30,MATCH($B21,Catalog!$A$28:$A$30,0))*Catalog!$B$40)</f>
        <v>0</v>
      </c>
      <c r="J21" s="23" t="n">
        <f aca="false">IF(F21=0,0,F21*INDEX(Catalog!$C$28:$C$30,MATCH($B21,Catalog!$A$28:$A$30,0)))</f>
        <v>0</v>
      </c>
      <c r="K21" s="23" t="n">
        <f aca="false">IF(F21=0,0,F21*INDEX(Catalog!$D$28:$D$30,MATCH($B21,Catalog!$A$28:$A$30,0))/12)</f>
        <v>0</v>
      </c>
      <c r="L21" s="9" t="str">
        <f aca="false">IF(C21=0,"",IF(J21&lt;=H21,"PTU","PayGO"))</f>
        <v/>
      </c>
    </row>
    <row r="22" customFormat="false" ht="15" hidden="false" customHeight="false" outlineLevel="0" collapsed="false">
      <c r="A22" s="21" t="str">
        <f aca="false">Catalog!A10</f>
        <v>gpt-5-mini</v>
      </c>
      <c r="B22" s="9" t="s">
        <v>64</v>
      </c>
      <c r="C22" s="9" t="n">
        <f aca="false">COUNTIFS(Calcs!$B$4:$B$23,$A22,Calcs!$D$4:$D$23,$B22,Calcs!$A$4:$A$23,"&lt;&gt;")</f>
        <v>1</v>
      </c>
      <c r="D22" s="19" t="n">
        <f aca="false">IF(C22=0,0,MAX(SUMIFS(Calcs!$V$4:$V$23,Calcs!$B$4:$B$23,$A22,Calcs!$D$4:$D$23,$B22),SUMIFS(Calcs!$W$4:$W$23,Calcs!$B$4:$B$23,$A22,Calcs!$D$4:$D$23,$B22),SUMIFS(Calcs!$X$4:$X$23,Calcs!$B$4:$B$23,$A22,Calcs!$D$4:$D$23,$B22)))</f>
        <v>148500</v>
      </c>
      <c r="E22" s="20" t="n">
        <f aca="false">IF(C22=0,0,D22/Catalog!B10)</f>
        <v>6.25263157894737</v>
      </c>
      <c r="F22" s="9" t="n">
        <f aca="false">IF(E22=0,0,IF(E22&lt;=IF($B22="Regional",Catalog!F10,Catalog!D10),IF($B22="Regional",Catalog!F10,Catalog!D10),IF($B22="Regional",Catalog!F10,Catalog!D10)+CEILING(E22-IF($B22="Regional",Catalog!F10,Catalog!D10),IF($B22="Regional",Catalog!G10,Catalog!E10))))</f>
        <v>15</v>
      </c>
      <c r="G22" s="22" t="n">
        <f aca="false">IF(F22=0,"",(SUMIFS(Calcs!$V$4:$V$23,Calcs!$B$4:$B$23,$A22,Calcs!$D$4:$D$23,$B22)*LoadPeriods!$E$4+SUMIFS(Calcs!$W$4:$W$23,Calcs!$B$4:$B$23,$A22,Calcs!$D$4:$D$23,$B22)*LoadPeriods!$E$5+SUMIFS(Calcs!$X$4:$X$23,Calcs!$B$4:$B$23,$A22,Calcs!$D$4:$D$23,$B22)*LoadPeriods!$E$6)/(F22*Catalog!B10*Catalog!$B$40))</f>
        <v>0.163097744360902</v>
      </c>
      <c r="H22" s="23" t="n">
        <f aca="false">IF(C22=0,0,SUMIFS(Calcs!$AB$4:$AB$23,Calcs!$B$4:$B$23,$A22,Calcs!$D$4:$D$23,$B22))</f>
        <v>697.76446875</v>
      </c>
      <c r="I22" s="23" t="n">
        <f aca="false">IF(F22=0,0,F22*INDEX(Catalog!$B$28:$B$30,MATCH($B22,Catalog!$A$28:$A$30,0))*Catalog!$B$40)</f>
        <v>10957.5</v>
      </c>
      <c r="J22" s="23" t="n">
        <f aca="false">IF(F22=0,0,F22*INDEX(Catalog!$C$28:$C$30,MATCH($B22,Catalog!$A$28:$A$30,0)))</f>
        <v>3900</v>
      </c>
      <c r="K22" s="23" t="n">
        <f aca="false">IF(F22=0,0,F22*INDEX(Catalog!$D$28:$D$30,MATCH($B22,Catalog!$A$28:$A$30,0))/12)</f>
        <v>3315</v>
      </c>
      <c r="L22" s="9" t="str">
        <f aca="false">IF(C22=0,"",IF(J22&lt;=H22,"PTU","PayGO"))</f>
        <v>PayGO</v>
      </c>
    </row>
    <row r="23" customFormat="false" ht="15" hidden="false" customHeight="false" outlineLevel="0" collapsed="false">
      <c r="A23" s="21" t="str">
        <f aca="false">Catalog!A10</f>
        <v>gpt-5-mini</v>
      </c>
      <c r="B23" s="9" t="s">
        <v>65</v>
      </c>
      <c r="C23" s="9" t="n">
        <f aca="false">COUNTIFS(Calcs!$B$4:$B$23,$A23,Calcs!$D$4:$D$23,$B23,Calcs!$A$4:$A$23,"&lt;&gt;")</f>
        <v>0</v>
      </c>
      <c r="D23" s="19" t="n">
        <f aca="false">IF(C23=0,0,MAX(SUMIFS(Calcs!$V$4:$V$23,Calcs!$B$4:$B$23,$A23,Calcs!$D$4:$D$23,$B23),SUMIFS(Calcs!$W$4:$W$23,Calcs!$B$4:$B$23,$A23,Calcs!$D$4:$D$23,$B23),SUMIFS(Calcs!$X$4:$X$23,Calcs!$B$4:$B$23,$A23,Calcs!$D$4:$D$23,$B23)))</f>
        <v>0</v>
      </c>
      <c r="E23" s="20" t="n">
        <f aca="false">IF(C23=0,0,D23/Catalog!B10)</f>
        <v>0</v>
      </c>
      <c r="F23" s="9" t="n">
        <f aca="false">IF(E23=0,0,IF(E23&lt;=IF($B23="Regional",Catalog!F10,Catalog!D10),IF($B23="Regional",Catalog!F10,Catalog!D10),IF($B23="Regional",Catalog!F10,Catalog!D10)+CEILING(E23-IF($B23="Regional",Catalog!F10,Catalog!D10),IF($B23="Regional",Catalog!G10,Catalog!E10))))</f>
        <v>0</v>
      </c>
      <c r="G23" s="22" t="str">
        <f aca="false">IF(F23=0,"",(SUMIFS(Calcs!$V$4:$V$23,Calcs!$B$4:$B$23,$A23,Calcs!$D$4:$D$23,$B23)*LoadPeriods!$E$4+SUMIFS(Calcs!$W$4:$W$23,Calcs!$B$4:$B$23,$A23,Calcs!$D$4:$D$23,$B23)*LoadPeriods!$E$5+SUMIFS(Calcs!$X$4:$X$23,Calcs!$B$4:$B$23,$A23,Calcs!$D$4:$D$23,$B23)*LoadPeriods!$E$6)/(F23*Catalog!B10*Catalog!$B$40))</f>
        <v/>
      </c>
      <c r="H23" s="23" t="n">
        <f aca="false">IF(C23=0,0,SUMIFS(Calcs!$AB$4:$AB$23,Calcs!$B$4:$B$23,$A23,Calcs!$D$4:$D$23,$B23))</f>
        <v>0</v>
      </c>
      <c r="I23" s="23" t="n">
        <f aca="false">IF(F23=0,0,F23*INDEX(Catalog!$B$28:$B$30,MATCH($B23,Catalog!$A$28:$A$30,0))*Catalog!$B$40)</f>
        <v>0</v>
      </c>
      <c r="J23" s="23" t="n">
        <f aca="false">IF(F23=0,0,F23*INDEX(Catalog!$C$28:$C$30,MATCH($B23,Catalog!$A$28:$A$30,0)))</f>
        <v>0</v>
      </c>
      <c r="K23" s="23" t="n">
        <f aca="false">IF(F23=0,0,F23*INDEX(Catalog!$D$28:$D$30,MATCH($B23,Catalog!$A$28:$A$30,0))/12)</f>
        <v>0</v>
      </c>
      <c r="L23" s="9" t="str">
        <f aca="false">IF(C23=0,"",IF(J23&lt;=H23,"PTU","PayGO"))</f>
        <v/>
      </c>
    </row>
    <row r="24" customFormat="false" ht="15" hidden="false" customHeight="false" outlineLevel="0" collapsed="false">
      <c r="A24" s="21" t="str">
        <f aca="false">Catalog!A10</f>
        <v>gpt-5-mini</v>
      </c>
      <c r="B24" s="9" t="s">
        <v>66</v>
      </c>
      <c r="C24" s="9" t="n">
        <f aca="false">COUNTIFS(Calcs!$B$4:$B$23,$A24,Calcs!$D$4:$D$23,$B24,Calcs!$A$4:$A$23,"&lt;&gt;")</f>
        <v>0</v>
      </c>
      <c r="D24" s="19" t="n">
        <f aca="false">IF(C24=0,0,MAX(SUMIFS(Calcs!$V$4:$V$23,Calcs!$B$4:$B$23,$A24,Calcs!$D$4:$D$23,$B24),SUMIFS(Calcs!$W$4:$W$23,Calcs!$B$4:$B$23,$A24,Calcs!$D$4:$D$23,$B24),SUMIFS(Calcs!$X$4:$X$23,Calcs!$B$4:$B$23,$A24,Calcs!$D$4:$D$23,$B24)))</f>
        <v>0</v>
      </c>
      <c r="E24" s="20" t="n">
        <f aca="false">IF(C24=0,0,D24/Catalog!B10)</f>
        <v>0</v>
      </c>
      <c r="F24" s="9" t="n">
        <f aca="false">IF(E24=0,0,IF(E24&lt;=IF($B24="Regional",Catalog!F10,Catalog!D10),IF($B24="Regional",Catalog!F10,Catalog!D10),IF($B24="Regional",Catalog!F10,Catalog!D10)+CEILING(E24-IF($B24="Regional",Catalog!F10,Catalog!D10),IF($B24="Regional",Catalog!G10,Catalog!E10))))</f>
        <v>0</v>
      </c>
      <c r="G24" s="22" t="str">
        <f aca="false">IF(F24=0,"",(SUMIFS(Calcs!$V$4:$V$23,Calcs!$B$4:$B$23,$A24,Calcs!$D$4:$D$23,$B24)*LoadPeriods!$E$4+SUMIFS(Calcs!$W$4:$W$23,Calcs!$B$4:$B$23,$A24,Calcs!$D$4:$D$23,$B24)*LoadPeriods!$E$5+SUMIFS(Calcs!$X$4:$X$23,Calcs!$B$4:$B$23,$A24,Calcs!$D$4:$D$23,$B24)*LoadPeriods!$E$6)/(F24*Catalog!B10*Catalog!$B$40))</f>
        <v/>
      </c>
      <c r="H24" s="23" t="n">
        <f aca="false">IF(C24=0,0,SUMIFS(Calcs!$AB$4:$AB$23,Calcs!$B$4:$B$23,$A24,Calcs!$D$4:$D$23,$B24))</f>
        <v>0</v>
      </c>
      <c r="I24" s="23" t="n">
        <f aca="false">IF(F24=0,0,F24*INDEX(Catalog!$B$28:$B$30,MATCH($B24,Catalog!$A$28:$A$30,0))*Catalog!$B$40)</f>
        <v>0</v>
      </c>
      <c r="J24" s="23" t="n">
        <f aca="false">IF(F24=0,0,F24*INDEX(Catalog!$C$28:$C$30,MATCH($B24,Catalog!$A$28:$A$30,0)))</f>
        <v>0</v>
      </c>
      <c r="K24" s="23" t="n">
        <f aca="false">IF(F24=0,0,F24*INDEX(Catalog!$D$28:$D$30,MATCH($B24,Catalog!$A$28:$A$30,0))/12)</f>
        <v>0</v>
      </c>
      <c r="L24" s="9" t="str">
        <f aca="false">IF(C24=0,"",IF(J24&lt;=H24,"PTU","PayGO"))</f>
        <v/>
      </c>
    </row>
    <row r="25" customFormat="false" ht="15" hidden="false" customHeight="false" outlineLevel="0" collapsed="false">
      <c r="A25" s="21" t="str">
        <f aca="false">Catalog!A11</f>
        <v>gpt-4.1</v>
      </c>
      <c r="B25" s="9" t="s">
        <v>64</v>
      </c>
      <c r="C25" s="9" t="n">
        <f aca="false">COUNTIFS(Calcs!$B$4:$B$23,$A25,Calcs!$D$4:$D$23,$B25,Calcs!$A$4:$A$23,"&lt;&gt;")</f>
        <v>0</v>
      </c>
      <c r="D25" s="19" t="n">
        <f aca="false">IF(C25=0,0,MAX(SUMIFS(Calcs!$V$4:$V$23,Calcs!$B$4:$B$23,$A25,Calcs!$D$4:$D$23,$B25),SUMIFS(Calcs!$W$4:$W$23,Calcs!$B$4:$B$23,$A25,Calcs!$D$4:$D$23,$B25),SUMIFS(Calcs!$X$4:$X$23,Calcs!$B$4:$B$23,$A25,Calcs!$D$4:$D$23,$B25)))</f>
        <v>0</v>
      </c>
      <c r="E25" s="20" t="n">
        <f aca="false">IF(C25=0,0,D25/Catalog!B11)</f>
        <v>0</v>
      </c>
      <c r="F25" s="9" t="n">
        <f aca="false">IF(E25=0,0,IF(E25&lt;=IF($B25="Regional",Catalog!F11,Catalog!D11),IF($B25="Regional",Catalog!F11,Catalog!D11),IF($B25="Regional",Catalog!F11,Catalog!D11)+CEILING(E25-IF($B25="Regional",Catalog!F11,Catalog!D11),IF($B25="Regional",Catalog!G11,Catalog!E11))))</f>
        <v>0</v>
      </c>
      <c r="G25" s="22" t="str">
        <f aca="false">IF(F25=0,"",(SUMIFS(Calcs!$V$4:$V$23,Calcs!$B$4:$B$23,$A25,Calcs!$D$4:$D$23,$B25)*LoadPeriods!$E$4+SUMIFS(Calcs!$W$4:$W$23,Calcs!$B$4:$B$23,$A25,Calcs!$D$4:$D$23,$B25)*LoadPeriods!$E$5+SUMIFS(Calcs!$X$4:$X$23,Calcs!$B$4:$B$23,$A25,Calcs!$D$4:$D$23,$B25)*LoadPeriods!$E$6)/(F25*Catalog!B11*Catalog!$B$40))</f>
        <v/>
      </c>
      <c r="H25" s="23" t="n">
        <f aca="false">IF(C25=0,0,SUMIFS(Calcs!$AB$4:$AB$23,Calcs!$B$4:$B$23,$A25,Calcs!$D$4:$D$23,$B25))</f>
        <v>0</v>
      </c>
      <c r="I25" s="23" t="n">
        <f aca="false">IF(F25=0,0,F25*INDEX(Catalog!$B$28:$B$30,MATCH($B25,Catalog!$A$28:$A$30,0))*Catalog!$B$40)</f>
        <v>0</v>
      </c>
      <c r="J25" s="23" t="n">
        <f aca="false">IF(F25=0,0,F25*INDEX(Catalog!$C$28:$C$30,MATCH($B25,Catalog!$A$28:$A$30,0)))</f>
        <v>0</v>
      </c>
      <c r="K25" s="23" t="n">
        <f aca="false">IF(F25=0,0,F25*INDEX(Catalog!$D$28:$D$30,MATCH($B25,Catalog!$A$28:$A$30,0))/12)</f>
        <v>0</v>
      </c>
      <c r="L25" s="9" t="str">
        <f aca="false">IF(C25=0,"",IF(J25&lt;=H25,"PTU","PayGO"))</f>
        <v/>
      </c>
    </row>
    <row r="26" customFormat="false" ht="15" hidden="false" customHeight="false" outlineLevel="0" collapsed="false">
      <c r="A26" s="21" t="str">
        <f aca="false">Catalog!A11</f>
        <v>gpt-4.1</v>
      </c>
      <c r="B26" s="9" t="s">
        <v>65</v>
      </c>
      <c r="C26" s="9" t="n">
        <f aca="false">COUNTIFS(Calcs!$B$4:$B$23,$A26,Calcs!$D$4:$D$23,$B26,Calcs!$A$4:$A$23,"&lt;&gt;")</f>
        <v>0</v>
      </c>
      <c r="D26" s="19" t="n">
        <f aca="false">IF(C26=0,0,MAX(SUMIFS(Calcs!$V$4:$V$23,Calcs!$B$4:$B$23,$A26,Calcs!$D$4:$D$23,$B26),SUMIFS(Calcs!$W$4:$W$23,Calcs!$B$4:$B$23,$A26,Calcs!$D$4:$D$23,$B26),SUMIFS(Calcs!$X$4:$X$23,Calcs!$B$4:$B$23,$A26,Calcs!$D$4:$D$23,$B26)))</f>
        <v>0</v>
      </c>
      <c r="E26" s="20" t="n">
        <f aca="false">IF(C26=0,0,D26/Catalog!B11)</f>
        <v>0</v>
      </c>
      <c r="F26" s="9" t="n">
        <f aca="false">IF(E26=0,0,IF(E26&lt;=IF($B26="Regional",Catalog!F11,Catalog!D11),IF($B26="Regional",Catalog!F11,Catalog!D11),IF($B26="Regional",Catalog!F11,Catalog!D11)+CEILING(E26-IF($B26="Regional",Catalog!F11,Catalog!D11),IF($B26="Regional",Catalog!G11,Catalog!E11))))</f>
        <v>0</v>
      </c>
      <c r="G26" s="22" t="str">
        <f aca="false">IF(F26=0,"",(SUMIFS(Calcs!$V$4:$V$23,Calcs!$B$4:$B$23,$A26,Calcs!$D$4:$D$23,$B26)*LoadPeriods!$E$4+SUMIFS(Calcs!$W$4:$W$23,Calcs!$B$4:$B$23,$A26,Calcs!$D$4:$D$23,$B26)*LoadPeriods!$E$5+SUMIFS(Calcs!$X$4:$X$23,Calcs!$B$4:$B$23,$A26,Calcs!$D$4:$D$23,$B26)*LoadPeriods!$E$6)/(F26*Catalog!B11*Catalog!$B$40))</f>
        <v/>
      </c>
      <c r="H26" s="23" t="n">
        <f aca="false">IF(C26=0,0,SUMIFS(Calcs!$AB$4:$AB$23,Calcs!$B$4:$B$23,$A26,Calcs!$D$4:$D$23,$B26))</f>
        <v>0</v>
      </c>
      <c r="I26" s="23" t="n">
        <f aca="false">IF(F26=0,0,F26*INDEX(Catalog!$B$28:$B$30,MATCH($B26,Catalog!$A$28:$A$30,0))*Catalog!$B$40)</f>
        <v>0</v>
      </c>
      <c r="J26" s="23" t="n">
        <f aca="false">IF(F26=0,0,F26*INDEX(Catalog!$C$28:$C$30,MATCH($B26,Catalog!$A$28:$A$30,0)))</f>
        <v>0</v>
      </c>
      <c r="K26" s="23" t="n">
        <f aca="false">IF(F26=0,0,F26*INDEX(Catalog!$D$28:$D$30,MATCH($B26,Catalog!$A$28:$A$30,0))/12)</f>
        <v>0</v>
      </c>
      <c r="L26" s="9" t="str">
        <f aca="false">IF(C26=0,"",IF(J26&lt;=H26,"PTU","PayGO"))</f>
        <v/>
      </c>
    </row>
    <row r="27" customFormat="false" ht="15" hidden="false" customHeight="false" outlineLevel="0" collapsed="false">
      <c r="A27" s="21" t="str">
        <f aca="false">Catalog!A11</f>
        <v>gpt-4.1</v>
      </c>
      <c r="B27" s="9" t="s">
        <v>66</v>
      </c>
      <c r="C27" s="9" t="n">
        <f aca="false">COUNTIFS(Calcs!$B$4:$B$23,$A27,Calcs!$D$4:$D$23,$B27,Calcs!$A$4:$A$23,"&lt;&gt;")</f>
        <v>0</v>
      </c>
      <c r="D27" s="19" t="n">
        <f aca="false">IF(C27=0,0,MAX(SUMIFS(Calcs!$V$4:$V$23,Calcs!$B$4:$B$23,$A27,Calcs!$D$4:$D$23,$B27),SUMIFS(Calcs!$W$4:$W$23,Calcs!$B$4:$B$23,$A27,Calcs!$D$4:$D$23,$B27),SUMIFS(Calcs!$X$4:$X$23,Calcs!$B$4:$B$23,$A27,Calcs!$D$4:$D$23,$B27)))</f>
        <v>0</v>
      </c>
      <c r="E27" s="20" t="n">
        <f aca="false">IF(C27=0,0,D27/Catalog!B11)</f>
        <v>0</v>
      </c>
      <c r="F27" s="9" t="n">
        <f aca="false">IF(E27=0,0,IF(E27&lt;=IF($B27="Regional",Catalog!F11,Catalog!D11),IF($B27="Regional",Catalog!F11,Catalog!D11),IF($B27="Regional",Catalog!F11,Catalog!D11)+CEILING(E27-IF($B27="Regional",Catalog!F11,Catalog!D11),IF($B27="Regional",Catalog!G11,Catalog!E11))))</f>
        <v>0</v>
      </c>
      <c r="G27" s="22" t="str">
        <f aca="false">IF(F27=0,"",(SUMIFS(Calcs!$V$4:$V$23,Calcs!$B$4:$B$23,$A27,Calcs!$D$4:$D$23,$B27)*LoadPeriods!$E$4+SUMIFS(Calcs!$W$4:$W$23,Calcs!$B$4:$B$23,$A27,Calcs!$D$4:$D$23,$B27)*LoadPeriods!$E$5+SUMIFS(Calcs!$X$4:$X$23,Calcs!$B$4:$B$23,$A27,Calcs!$D$4:$D$23,$B27)*LoadPeriods!$E$6)/(F27*Catalog!B11*Catalog!$B$40))</f>
        <v/>
      </c>
      <c r="H27" s="23" t="n">
        <f aca="false">IF(C27=0,0,SUMIFS(Calcs!$AB$4:$AB$23,Calcs!$B$4:$B$23,$A27,Calcs!$D$4:$D$23,$B27))</f>
        <v>0</v>
      </c>
      <c r="I27" s="23" t="n">
        <f aca="false">IF(F27=0,0,F27*INDEX(Catalog!$B$28:$B$30,MATCH($B27,Catalog!$A$28:$A$30,0))*Catalog!$B$40)</f>
        <v>0</v>
      </c>
      <c r="J27" s="23" t="n">
        <f aca="false">IF(F27=0,0,F27*INDEX(Catalog!$C$28:$C$30,MATCH($B27,Catalog!$A$28:$A$30,0)))</f>
        <v>0</v>
      </c>
      <c r="K27" s="23" t="n">
        <f aca="false">IF(F27=0,0,F27*INDEX(Catalog!$D$28:$D$30,MATCH($B27,Catalog!$A$28:$A$30,0))/12)</f>
        <v>0</v>
      </c>
      <c r="L27" s="9" t="str">
        <f aca="false">IF(C27=0,"",IF(J27&lt;=H27,"PTU","PayGO"))</f>
        <v/>
      </c>
    </row>
    <row r="28" customFormat="false" ht="15" hidden="false" customHeight="false" outlineLevel="0" collapsed="false">
      <c r="A28" s="21" t="str">
        <f aca="false">Catalog!A12</f>
        <v>gpt-4.1-mini</v>
      </c>
      <c r="B28" s="9" t="s">
        <v>64</v>
      </c>
      <c r="C28" s="9" t="n">
        <f aca="false">COUNTIFS(Calcs!$B$4:$B$23,$A28,Calcs!$D$4:$D$23,$B28,Calcs!$A$4:$A$23,"&lt;&gt;")</f>
        <v>0</v>
      </c>
      <c r="D28" s="19" t="n">
        <f aca="false">IF(C28=0,0,MAX(SUMIFS(Calcs!$V$4:$V$23,Calcs!$B$4:$B$23,$A28,Calcs!$D$4:$D$23,$B28),SUMIFS(Calcs!$W$4:$W$23,Calcs!$B$4:$B$23,$A28,Calcs!$D$4:$D$23,$B28),SUMIFS(Calcs!$X$4:$X$23,Calcs!$B$4:$B$23,$A28,Calcs!$D$4:$D$23,$B28)))</f>
        <v>0</v>
      </c>
      <c r="E28" s="20" t="n">
        <f aca="false">IF(C28=0,0,D28/Catalog!B12)</f>
        <v>0</v>
      </c>
      <c r="F28" s="9" t="n">
        <f aca="false">IF(E28=0,0,IF(E28&lt;=IF($B28="Regional",Catalog!F12,Catalog!D12),IF($B28="Regional",Catalog!F12,Catalog!D12),IF($B28="Regional",Catalog!F12,Catalog!D12)+CEILING(E28-IF($B28="Regional",Catalog!F12,Catalog!D12),IF($B28="Regional",Catalog!G12,Catalog!E12))))</f>
        <v>0</v>
      </c>
      <c r="G28" s="22" t="str">
        <f aca="false">IF(F28=0,"",(SUMIFS(Calcs!$V$4:$V$23,Calcs!$B$4:$B$23,$A28,Calcs!$D$4:$D$23,$B28)*LoadPeriods!$E$4+SUMIFS(Calcs!$W$4:$W$23,Calcs!$B$4:$B$23,$A28,Calcs!$D$4:$D$23,$B28)*LoadPeriods!$E$5+SUMIFS(Calcs!$X$4:$X$23,Calcs!$B$4:$B$23,$A28,Calcs!$D$4:$D$23,$B28)*LoadPeriods!$E$6)/(F28*Catalog!B12*Catalog!$B$40))</f>
        <v/>
      </c>
      <c r="H28" s="23" t="n">
        <f aca="false">IF(C28=0,0,SUMIFS(Calcs!$AB$4:$AB$23,Calcs!$B$4:$B$23,$A28,Calcs!$D$4:$D$23,$B28))</f>
        <v>0</v>
      </c>
      <c r="I28" s="23" t="n">
        <f aca="false">IF(F28=0,0,F28*INDEX(Catalog!$B$28:$B$30,MATCH($B28,Catalog!$A$28:$A$30,0))*Catalog!$B$40)</f>
        <v>0</v>
      </c>
      <c r="J28" s="23" t="n">
        <f aca="false">IF(F28=0,0,F28*INDEX(Catalog!$C$28:$C$30,MATCH($B28,Catalog!$A$28:$A$30,0)))</f>
        <v>0</v>
      </c>
      <c r="K28" s="23" t="n">
        <f aca="false">IF(F28=0,0,F28*INDEX(Catalog!$D$28:$D$30,MATCH($B28,Catalog!$A$28:$A$30,0))/12)</f>
        <v>0</v>
      </c>
      <c r="L28" s="9" t="str">
        <f aca="false">IF(C28=0,"",IF(J28&lt;=H28,"PTU","PayGO"))</f>
        <v/>
      </c>
    </row>
    <row r="29" customFormat="false" ht="15" hidden="false" customHeight="false" outlineLevel="0" collapsed="false">
      <c r="A29" s="21" t="str">
        <f aca="false">Catalog!A12</f>
        <v>gpt-4.1-mini</v>
      </c>
      <c r="B29" s="9" t="s">
        <v>65</v>
      </c>
      <c r="C29" s="9" t="n">
        <f aca="false">COUNTIFS(Calcs!$B$4:$B$23,$A29,Calcs!$D$4:$D$23,$B29,Calcs!$A$4:$A$23,"&lt;&gt;")</f>
        <v>0</v>
      </c>
      <c r="D29" s="19" t="n">
        <f aca="false">IF(C29=0,0,MAX(SUMIFS(Calcs!$V$4:$V$23,Calcs!$B$4:$B$23,$A29,Calcs!$D$4:$D$23,$B29),SUMIFS(Calcs!$W$4:$W$23,Calcs!$B$4:$B$23,$A29,Calcs!$D$4:$D$23,$B29),SUMIFS(Calcs!$X$4:$X$23,Calcs!$B$4:$B$23,$A29,Calcs!$D$4:$D$23,$B29)))</f>
        <v>0</v>
      </c>
      <c r="E29" s="20" t="n">
        <f aca="false">IF(C29=0,0,D29/Catalog!B12)</f>
        <v>0</v>
      </c>
      <c r="F29" s="9" t="n">
        <f aca="false">IF(E29=0,0,IF(E29&lt;=IF($B29="Regional",Catalog!F12,Catalog!D12),IF($B29="Regional",Catalog!F12,Catalog!D12),IF($B29="Regional",Catalog!F12,Catalog!D12)+CEILING(E29-IF($B29="Regional",Catalog!F12,Catalog!D12),IF($B29="Regional",Catalog!G12,Catalog!E12))))</f>
        <v>0</v>
      </c>
      <c r="G29" s="22" t="str">
        <f aca="false">IF(F29=0,"",(SUMIFS(Calcs!$V$4:$V$23,Calcs!$B$4:$B$23,$A29,Calcs!$D$4:$D$23,$B29)*LoadPeriods!$E$4+SUMIFS(Calcs!$W$4:$W$23,Calcs!$B$4:$B$23,$A29,Calcs!$D$4:$D$23,$B29)*LoadPeriods!$E$5+SUMIFS(Calcs!$X$4:$X$23,Calcs!$B$4:$B$23,$A29,Calcs!$D$4:$D$23,$B29)*LoadPeriods!$E$6)/(F29*Catalog!B12*Catalog!$B$40))</f>
        <v/>
      </c>
      <c r="H29" s="23" t="n">
        <f aca="false">IF(C29=0,0,SUMIFS(Calcs!$AB$4:$AB$23,Calcs!$B$4:$B$23,$A29,Calcs!$D$4:$D$23,$B29))</f>
        <v>0</v>
      </c>
      <c r="I29" s="23" t="n">
        <f aca="false">IF(F29=0,0,F29*INDEX(Catalog!$B$28:$B$30,MATCH($B29,Catalog!$A$28:$A$30,0))*Catalog!$B$40)</f>
        <v>0</v>
      </c>
      <c r="J29" s="23" t="n">
        <f aca="false">IF(F29=0,0,F29*INDEX(Catalog!$C$28:$C$30,MATCH($B29,Catalog!$A$28:$A$30,0)))</f>
        <v>0</v>
      </c>
      <c r="K29" s="23" t="n">
        <f aca="false">IF(F29=0,0,F29*INDEX(Catalog!$D$28:$D$30,MATCH($B29,Catalog!$A$28:$A$30,0))/12)</f>
        <v>0</v>
      </c>
      <c r="L29" s="9" t="str">
        <f aca="false">IF(C29=0,"",IF(J29&lt;=H29,"PTU","PayGO"))</f>
        <v/>
      </c>
    </row>
    <row r="30" customFormat="false" ht="15" hidden="false" customHeight="false" outlineLevel="0" collapsed="false">
      <c r="A30" s="21" t="str">
        <f aca="false">Catalog!A12</f>
        <v>gpt-4.1-mini</v>
      </c>
      <c r="B30" s="9" t="s">
        <v>66</v>
      </c>
      <c r="C30" s="9" t="n">
        <f aca="false">COUNTIFS(Calcs!$B$4:$B$23,$A30,Calcs!$D$4:$D$23,$B30,Calcs!$A$4:$A$23,"&lt;&gt;")</f>
        <v>0</v>
      </c>
      <c r="D30" s="19" t="n">
        <f aca="false">IF(C30=0,0,MAX(SUMIFS(Calcs!$V$4:$V$23,Calcs!$B$4:$B$23,$A30,Calcs!$D$4:$D$23,$B30),SUMIFS(Calcs!$W$4:$W$23,Calcs!$B$4:$B$23,$A30,Calcs!$D$4:$D$23,$B30),SUMIFS(Calcs!$X$4:$X$23,Calcs!$B$4:$B$23,$A30,Calcs!$D$4:$D$23,$B30)))</f>
        <v>0</v>
      </c>
      <c r="E30" s="20" t="n">
        <f aca="false">IF(C30=0,0,D30/Catalog!B12)</f>
        <v>0</v>
      </c>
      <c r="F30" s="9" t="n">
        <f aca="false">IF(E30=0,0,IF(E30&lt;=IF($B30="Regional",Catalog!F12,Catalog!D12),IF($B30="Regional",Catalog!F12,Catalog!D12),IF($B30="Regional",Catalog!F12,Catalog!D12)+CEILING(E30-IF($B30="Regional",Catalog!F12,Catalog!D12),IF($B30="Regional",Catalog!G12,Catalog!E12))))</f>
        <v>0</v>
      </c>
      <c r="G30" s="22" t="str">
        <f aca="false">IF(F30=0,"",(SUMIFS(Calcs!$V$4:$V$23,Calcs!$B$4:$B$23,$A30,Calcs!$D$4:$D$23,$B30)*LoadPeriods!$E$4+SUMIFS(Calcs!$W$4:$W$23,Calcs!$B$4:$B$23,$A30,Calcs!$D$4:$D$23,$B30)*LoadPeriods!$E$5+SUMIFS(Calcs!$X$4:$X$23,Calcs!$B$4:$B$23,$A30,Calcs!$D$4:$D$23,$B30)*LoadPeriods!$E$6)/(F30*Catalog!B12*Catalog!$B$40))</f>
        <v/>
      </c>
      <c r="H30" s="23" t="n">
        <f aca="false">IF(C30=0,0,SUMIFS(Calcs!$AB$4:$AB$23,Calcs!$B$4:$B$23,$A30,Calcs!$D$4:$D$23,$B30))</f>
        <v>0</v>
      </c>
      <c r="I30" s="23" t="n">
        <f aca="false">IF(F30=0,0,F30*INDEX(Catalog!$B$28:$B$30,MATCH($B30,Catalog!$A$28:$A$30,0))*Catalog!$B$40)</f>
        <v>0</v>
      </c>
      <c r="J30" s="23" t="n">
        <f aca="false">IF(F30=0,0,F30*INDEX(Catalog!$C$28:$C$30,MATCH($B30,Catalog!$A$28:$A$30,0)))</f>
        <v>0</v>
      </c>
      <c r="K30" s="23" t="n">
        <f aca="false">IF(F30=0,0,F30*INDEX(Catalog!$D$28:$D$30,MATCH($B30,Catalog!$A$28:$A$30,0))/12)</f>
        <v>0</v>
      </c>
      <c r="L30" s="9" t="str">
        <f aca="false">IF(C30=0,"",IF(J30&lt;=H30,"PTU","PayGO"))</f>
        <v/>
      </c>
    </row>
    <row r="31" customFormat="false" ht="15" hidden="false" customHeight="false" outlineLevel="0" collapsed="false">
      <c r="A31" s="21" t="str">
        <f aca="false">Catalog!A13</f>
        <v>gpt-4.1-nano</v>
      </c>
      <c r="B31" s="9" t="s">
        <v>64</v>
      </c>
      <c r="C31" s="9" t="n">
        <f aca="false">COUNTIFS(Calcs!$B$4:$B$23,$A31,Calcs!$D$4:$D$23,$B31,Calcs!$A$4:$A$23,"&lt;&gt;")</f>
        <v>0</v>
      </c>
      <c r="D31" s="19" t="n">
        <f aca="false">IF(C31=0,0,MAX(SUMIFS(Calcs!$V$4:$V$23,Calcs!$B$4:$B$23,$A31,Calcs!$D$4:$D$23,$B31),SUMIFS(Calcs!$W$4:$W$23,Calcs!$B$4:$B$23,$A31,Calcs!$D$4:$D$23,$B31),SUMIFS(Calcs!$X$4:$X$23,Calcs!$B$4:$B$23,$A31,Calcs!$D$4:$D$23,$B31)))</f>
        <v>0</v>
      </c>
      <c r="E31" s="20" t="n">
        <f aca="false">IF(C31=0,0,D31/Catalog!B13)</f>
        <v>0</v>
      </c>
      <c r="F31" s="9" t="n">
        <f aca="false">IF(E31=0,0,IF(E31&lt;=IF($B31="Regional",Catalog!F13,Catalog!D13),IF($B31="Regional",Catalog!F13,Catalog!D13),IF($B31="Regional",Catalog!F13,Catalog!D13)+CEILING(E31-IF($B31="Regional",Catalog!F13,Catalog!D13),IF($B31="Regional",Catalog!G13,Catalog!E13))))</f>
        <v>0</v>
      </c>
      <c r="G31" s="22" t="str">
        <f aca="false">IF(F31=0,"",(SUMIFS(Calcs!$V$4:$V$23,Calcs!$B$4:$B$23,$A31,Calcs!$D$4:$D$23,$B31)*LoadPeriods!$E$4+SUMIFS(Calcs!$W$4:$W$23,Calcs!$B$4:$B$23,$A31,Calcs!$D$4:$D$23,$B31)*LoadPeriods!$E$5+SUMIFS(Calcs!$X$4:$X$23,Calcs!$B$4:$B$23,$A31,Calcs!$D$4:$D$23,$B31)*LoadPeriods!$E$6)/(F31*Catalog!B13*Catalog!$B$40))</f>
        <v/>
      </c>
      <c r="H31" s="23" t="n">
        <f aca="false">IF(C31=0,0,SUMIFS(Calcs!$AB$4:$AB$23,Calcs!$B$4:$B$23,$A31,Calcs!$D$4:$D$23,$B31))</f>
        <v>0</v>
      </c>
      <c r="I31" s="23" t="n">
        <f aca="false">IF(F31=0,0,F31*INDEX(Catalog!$B$28:$B$30,MATCH($B31,Catalog!$A$28:$A$30,0))*Catalog!$B$40)</f>
        <v>0</v>
      </c>
      <c r="J31" s="23" t="n">
        <f aca="false">IF(F31=0,0,F31*INDEX(Catalog!$C$28:$C$30,MATCH($B31,Catalog!$A$28:$A$30,0)))</f>
        <v>0</v>
      </c>
      <c r="K31" s="23" t="n">
        <f aca="false">IF(F31=0,0,F31*INDEX(Catalog!$D$28:$D$30,MATCH($B31,Catalog!$A$28:$A$30,0))/12)</f>
        <v>0</v>
      </c>
      <c r="L31" s="9" t="str">
        <f aca="false">IF(C31=0,"",IF(J31&lt;=H31,"PTU","PayGO"))</f>
        <v/>
      </c>
    </row>
    <row r="32" customFormat="false" ht="15" hidden="false" customHeight="false" outlineLevel="0" collapsed="false">
      <c r="A32" s="21" t="str">
        <f aca="false">Catalog!A13</f>
        <v>gpt-4.1-nano</v>
      </c>
      <c r="B32" s="9" t="s">
        <v>65</v>
      </c>
      <c r="C32" s="9" t="n">
        <f aca="false">COUNTIFS(Calcs!$B$4:$B$23,$A32,Calcs!$D$4:$D$23,$B32,Calcs!$A$4:$A$23,"&lt;&gt;")</f>
        <v>0</v>
      </c>
      <c r="D32" s="19" t="n">
        <f aca="false">IF(C32=0,0,MAX(SUMIFS(Calcs!$V$4:$V$23,Calcs!$B$4:$B$23,$A32,Calcs!$D$4:$D$23,$B32),SUMIFS(Calcs!$W$4:$W$23,Calcs!$B$4:$B$23,$A32,Calcs!$D$4:$D$23,$B32),SUMIFS(Calcs!$X$4:$X$23,Calcs!$B$4:$B$23,$A32,Calcs!$D$4:$D$23,$B32)))</f>
        <v>0</v>
      </c>
      <c r="E32" s="20" t="n">
        <f aca="false">IF(C32=0,0,D32/Catalog!B13)</f>
        <v>0</v>
      </c>
      <c r="F32" s="9" t="n">
        <f aca="false">IF(E32=0,0,IF(E32&lt;=IF($B32="Regional",Catalog!F13,Catalog!D13),IF($B32="Regional",Catalog!F13,Catalog!D13),IF($B32="Regional",Catalog!F13,Catalog!D13)+CEILING(E32-IF($B32="Regional",Catalog!F13,Catalog!D13),IF($B32="Regional",Catalog!G13,Catalog!E13))))</f>
        <v>0</v>
      </c>
      <c r="G32" s="22" t="str">
        <f aca="false">IF(F32=0,"",(SUMIFS(Calcs!$V$4:$V$23,Calcs!$B$4:$B$23,$A32,Calcs!$D$4:$D$23,$B32)*LoadPeriods!$E$4+SUMIFS(Calcs!$W$4:$W$23,Calcs!$B$4:$B$23,$A32,Calcs!$D$4:$D$23,$B32)*LoadPeriods!$E$5+SUMIFS(Calcs!$X$4:$X$23,Calcs!$B$4:$B$23,$A32,Calcs!$D$4:$D$23,$B32)*LoadPeriods!$E$6)/(F32*Catalog!B13*Catalog!$B$40))</f>
        <v/>
      </c>
      <c r="H32" s="23" t="n">
        <f aca="false">IF(C32=0,0,SUMIFS(Calcs!$AB$4:$AB$23,Calcs!$B$4:$B$23,$A32,Calcs!$D$4:$D$23,$B32))</f>
        <v>0</v>
      </c>
      <c r="I32" s="23" t="n">
        <f aca="false">IF(F32=0,0,F32*INDEX(Catalog!$B$28:$B$30,MATCH($B32,Catalog!$A$28:$A$30,0))*Catalog!$B$40)</f>
        <v>0</v>
      </c>
      <c r="J32" s="23" t="n">
        <f aca="false">IF(F32=0,0,F32*INDEX(Catalog!$C$28:$C$30,MATCH($B32,Catalog!$A$28:$A$30,0)))</f>
        <v>0</v>
      </c>
      <c r="K32" s="23" t="n">
        <f aca="false">IF(F32=0,0,F32*INDEX(Catalog!$D$28:$D$30,MATCH($B32,Catalog!$A$28:$A$30,0))/12)</f>
        <v>0</v>
      </c>
      <c r="L32" s="9" t="str">
        <f aca="false">IF(C32=0,"",IF(J32&lt;=H32,"PTU","PayGO"))</f>
        <v/>
      </c>
    </row>
    <row r="33" customFormat="false" ht="15" hidden="false" customHeight="false" outlineLevel="0" collapsed="false">
      <c r="A33" s="21" t="str">
        <f aca="false">Catalog!A13</f>
        <v>gpt-4.1-nano</v>
      </c>
      <c r="B33" s="9" t="s">
        <v>66</v>
      </c>
      <c r="C33" s="9" t="n">
        <f aca="false">COUNTIFS(Calcs!$B$4:$B$23,$A33,Calcs!$D$4:$D$23,$B33,Calcs!$A$4:$A$23,"&lt;&gt;")</f>
        <v>0</v>
      </c>
      <c r="D33" s="19" t="n">
        <f aca="false">IF(C33=0,0,MAX(SUMIFS(Calcs!$V$4:$V$23,Calcs!$B$4:$B$23,$A33,Calcs!$D$4:$D$23,$B33),SUMIFS(Calcs!$W$4:$W$23,Calcs!$B$4:$B$23,$A33,Calcs!$D$4:$D$23,$B33),SUMIFS(Calcs!$X$4:$X$23,Calcs!$B$4:$B$23,$A33,Calcs!$D$4:$D$23,$B33)))</f>
        <v>0</v>
      </c>
      <c r="E33" s="20" t="n">
        <f aca="false">IF(C33=0,0,D33/Catalog!B13)</f>
        <v>0</v>
      </c>
      <c r="F33" s="9" t="n">
        <f aca="false">IF(E33=0,0,IF(E33&lt;=IF($B33="Regional",Catalog!F13,Catalog!D13),IF($B33="Regional",Catalog!F13,Catalog!D13),IF($B33="Regional",Catalog!F13,Catalog!D13)+CEILING(E33-IF($B33="Regional",Catalog!F13,Catalog!D13),IF($B33="Regional",Catalog!G13,Catalog!E13))))</f>
        <v>0</v>
      </c>
      <c r="G33" s="22" t="str">
        <f aca="false">IF(F33=0,"",(SUMIFS(Calcs!$V$4:$V$23,Calcs!$B$4:$B$23,$A33,Calcs!$D$4:$D$23,$B33)*LoadPeriods!$E$4+SUMIFS(Calcs!$W$4:$W$23,Calcs!$B$4:$B$23,$A33,Calcs!$D$4:$D$23,$B33)*LoadPeriods!$E$5+SUMIFS(Calcs!$X$4:$X$23,Calcs!$B$4:$B$23,$A33,Calcs!$D$4:$D$23,$B33)*LoadPeriods!$E$6)/(F33*Catalog!B13*Catalog!$B$40))</f>
        <v/>
      </c>
      <c r="H33" s="23" t="n">
        <f aca="false">IF(C33=0,0,SUMIFS(Calcs!$AB$4:$AB$23,Calcs!$B$4:$B$23,$A33,Calcs!$D$4:$D$23,$B33))</f>
        <v>0</v>
      </c>
      <c r="I33" s="23" t="n">
        <f aca="false">IF(F33=0,0,F33*INDEX(Catalog!$B$28:$B$30,MATCH($B33,Catalog!$A$28:$A$30,0))*Catalog!$B$40)</f>
        <v>0</v>
      </c>
      <c r="J33" s="23" t="n">
        <f aca="false">IF(F33=0,0,F33*INDEX(Catalog!$C$28:$C$30,MATCH($B33,Catalog!$A$28:$A$30,0)))</f>
        <v>0</v>
      </c>
      <c r="K33" s="23" t="n">
        <f aca="false">IF(F33=0,0,F33*INDEX(Catalog!$D$28:$D$30,MATCH($B33,Catalog!$A$28:$A$30,0))/12)</f>
        <v>0</v>
      </c>
      <c r="L33" s="9" t="str">
        <f aca="false">IF(C33=0,"",IF(J33&lt;=H33,"PTU","PayGO"))</f>
        <v/>
      </c>
    </row>
    <row r="34" customFormat="false" ht="15" hidden="false" customHeight="false" outlineLevel="0" collapsed="false">
      <c r="A34" s="21" t="str">
        <f aca="false">Catalog!A14</f>
        <v>gpt-4o</v>
      </c>
      <c r="B34" s="9" t="s">
        <v>64</v>
      </c>
      <c r="C34" s="9" t="n">
        <f aca="false">COUNTIFS(Calcs!$B$4:$B$23,$A34,Calcs!$D$4:$D$23,$B34,Calcs!$A$4:$A$23,"&lt;&gt;")</f>
        <v>0</v>
      </c>
      <c r="D34" s="19" t="n">
        <f aca="false">IF(C34=0,0,MAX(SUMIFS(Calcs!$V$4:$V$23,Calcs!$B$4:$B$23,$A34,Calcs!$D$4:$D$23,$B34),SUMIFS(Calcs!$W$4:$W$23,Calcs!$B$4:$B$23,$A34,Calcs!$D$4:$D$23,$B34),SUMIFS(Calcs!$X$4:$X$23,Calcs!$B$4:$B$23,$A34,Calcs!$D$4:$D$23,$B34)))</f>
        <v>0</v>
      </c>
      <c r="E34" s="20" t="n">
        <f aca="false">IF(C34=0,0,D34/Catalog!B14)</f>
        <v>0</v>
      </c>
      <c r="F34" s="9" t="n">
        <f aca="false">IF(E34=0,0,IF(E34&lt;=IF($B34="Regional",Catalog!F14,Catalog!D14),IF($B34="Regional",Catalog!F14,Catalog!D14),IF($B34="Regional",Catalog!F14,Catalog!D14)+CEILING(E34-IF($B34="Regional",Catalog!F14,Catalog!D14),IF($B34="Regional",Catalog!G14,Catalog!E14))))</f>
        <v>0</v>
      </c>
      <c r="G34" s="22" t="str">
        <f aca="false">IF(F34=0,"",(SUMIFS(Calcs!$V$4:$V$23,Calcs!$B$4:$B$23,$A34,Calcs!$D$4:$D$23,$B34)*LoadPeriods!$E$4+SUMIFS(Calcs!$W$4:$W$23,Calcs!$B$4:$B$23,$A34,Calcs!$D$4:$D$23,$B34)*LoadPeriods!$E$5+SUMIFS(Calcs!$X$4:$X$23,Calcs!$B$4:$B$23,$A34,Calcs!$D$4:$D$23,$B34)*LoadPeriods!$E$6)/(F34*Catalog!B14*Catalog!$B$40))</f>
        <v/>
      </c>
      <c r="H34" s="23" t="n">
        <f aca="false">IF(C34=0,0,SUMIFS(Calcs!$AB$4:$AB$23,Calcs!$B$4:$B$23,$A34,Calcs!$D$4:$D$23,$B34))</f>
        <v>0</v>
      </c>
      <c r="I34" s="23" t="n">
        <f aca="false">IF(F34=0,0,F34*INDEX(Catalog!$B$28:$B$30,MATCH($B34,Catalog!$A$28:$A$30,0))*Catalog!$B$40)</f>
        <v>0</v>
      </c>
      <c r="J34" s="23" t="n">
        <f aca="false">IF(F34=0,0,F34*INDEX(Catalog!$C$28:$C$30,MATCH($B34,Catalog!$A$28:$A$30,0)))</f>
        <v>0</v>
      </c>
      <c r="K34" s="23" t="n">
        <f aca="false">IF(F34=0,0,F34*INDEX(Catalog!$D$28:$D$30,MATCH($B34,Catalog!$A$28:$A$30,0))/12)</f>
        <v>0</v>
      </c>
      <c r="L34" s="9" t="str">
        <f aca="false">IF(C34=0,"",IF(J34&lt;=H34,"PTU","PayGO"))</f>
        <v/>
      </c>
    </row>
    <row r="35" customFormat="false" ht="15" hidden="false" customHeight="false" outlineLevel="0" collapsed="false">
      <c r="A35" s="21" t="str">
        <f aca="false">Catalog!A14</f>
        <v>gpt-4o</v>
      </c>
      <c r="B35" s="9" t="s">
        <v>65</v>
      </c>
      <c r="C35" s="9" t="n">
        <f aca="false">COUNTIFS(Calcs!$B$4:$B$23,$A35,Calcs!$D$4:$D$23,$B35,Calcs!$A$4:$A$23,"&lt;&gt;")</f>
        <v>0</v>
      </c>
      <c r="D35" s="19" t="n">
        <f aca="false">IF(C35=0,0,MAX(SUMIFS(Calcs!$V$4:$V$23,Calcs!$B$4:$B$23,$A35,Calcs!$D$4:$D$23,$B35),SUMIFS(Calcs!$W$4:$W$23,Calcs!$B$4:$B$23,$A35,Calcs!$D$4:$D$23,$B35),SUMIFS(Calcs!$X$4:$X$23,Calcs!$B$4:$B$23,$A35,Calcs!$D$4:$D$23,$B35)))</f>
        <v>0</v>
      </c>
      <c r="E35" s="20" t="n">
        <f aca="false">IF(C35=0,0,D35/Catalog!B14)</f>
        <v>0</v>
      </c>
      <c r="F35" s="9" t="n">
        <f aca="false">IF(E35=0,0,IF(E35&lt;=IF($B35="Regional",Catalog!F14,Catalog!D14),IF($B35="Regional",Catalog!F14,Catalog!D14),IF($B35="Regional",Catalog!F14,Catalog!D14)+CEILING(E35-IF($B35="Regional",Catalog!F14,Catalog!D14),IF($B35="Regional",Catalog!G14,Catalog!E14))))</f>
        <v>0</v>
      </c>
      <c r="G35" s="22" t="str">
        <f aca="false">IF(F35=0,"",(SUMIFS(Calcs!$V$4:$V$23,Calcs!$B$4:$B$23,$A35,Calcs!$D$4:$D$23,$B35)*LoadPeriods!$E$4+SUMIFS(Calcs!$W$4:$W$23,Calcs!$B$4:$B$23,$A35,Calcs!$D$4:$D$23,$B35)*LoadPeriods!$E$5+SUMIFS(Calcs!$X$4:$X$23,Calcs!$B$4:$B$23,$A35,Calcs!$D$4:$D$23,$B35)*LoadPeriods!$E$6)/(F35*Catalog!B14*Catalog!$B$40))</f>
        <v/>
      </c>
      <c r="H35" s="23" t="n">
        <f aca="false">IF(C35=0,0,SUMIFS(Calcs!$AB$4:$AB$23,Calcs!$B$4:$B$23,$A35,Calcs!$D$4:$D$23,$B35))</f>
        <v>0</v>
      </c>
      <c r="I35" s="23" t="n">
        <f aca="false">IF(F35=0,0,F35*INDEX(Catalog!$B$28:$B$30,MATCH($B35,Catalog!$A$28:$A$30,0))*Catalog!$B$40)</f>
        <v>0</v>
      </c>
      <c r="J35" s="23" t="n">
        <f aca="false">IF(F35=0,0,F35*INDEX(Catalog!$C$28:$C$30,MATCH($B35,Catalog!$A$28:$A$30,0)))</f>
        <v>0</v>
      </c>
      <c r="K35" s="23" t="n">
        <f aca="false">IF(F35=0,0,F35*INDEX(Catalog!$D$28:$D$30,MATCH($B35,Catalog!$A$28:$A$30,0))/12)</f>
        <v>0</v>
      </c>
      <c r="L35" s="9" t="str">
        <f aca="false">IF(C35=0,"",IF(J35&lt;=H35,"PTU","PayGO"))</f>
        <v/>
      </c>
    </row>
    <row r="36" customFormat="false" ht="15" hidden="false" customHeight="false" outlineLevel="0" collapsed="false">
      <c r="A36" s="21" t="str">
        <f aca="false">Catalog!A14</f>
        <v>gpt-4o</v>
      </c>
      <c r="B36" s="9" t="s">
        <v>66</v>
      </c>
      <c r="C36" s="9" t="n">
        <f aca="false">COUNTIFS(Calcs!$B$4:$B$23,$A36,Calcs!$D$4:$D$23,$B36,Calcs!$A$4:$A$23,"&lt;&gt;")</f>
        <v>0</v>
      </c>
      <c r="D36" s="19" t="n">
        <f aca="false">IF(C36=0,0,MAX(SUMIFS(Calcs!$V$4:$V$23,Calcs!$B$4:$B$23,$A36,Calcs!$D$4:$D$23,$B36),SUMIFS(Calcs!$W$4:$W$23,Calcs!$B$4:$B$23,$A36,Calcs!$D$4:$D$23,$B36),SUMIFS(Calcs!$X$4:$X$23,Calcs!$B$4:$B$23,$A36,Calcs!$D$4:$D$23,$B36)))</f>
        <v>0</v>
      </c>
      <c r="E36" s="20" t="n">
        <f aca="false">IF(C36=0,0,D36/Catalog!B14)</f>
        <v>0</v>
      </c>
      <c r="F36" s="9" t="n">
        <f aca="false">IF(E36=0,0,IF(E36&lt;=IF($B36="Regional",Catalog!F14,Catalog!D14),IF($B36="Regional",Catalog!F14,Catalog!D14),IF($B36="Regional",Catalog!F14,Catalog!D14)+CEILING(E36-IF($B36="Regional",Catalog!F14,Catalog!D14),IF($B36="Regional",Catalog!G14,Catalog!E14))))</f>
        <v>0</v>
      </c>
      <c r="G36" s="22" t="str">
        <f aca="false">IF(F36=0,"",(SUMIFS(Calcs!$V$4:$V$23,Calcs!$B$4:$B$23,$A36,Calcs!$D$4:$D$23,$B36)*LoadPeriods!$E$4+SUMIFS(Calcs!$W$4:$W$23,Calcs!$B$4:$B$23,$A36,Calcs!$D$4:$D$23,$B36)*LoadPeriods!$E$5+SUMIFS(Calcs!$X$4:$X$23,Calcs!$B$4:$B$23,$A36,Calcs!$D$4:$D$23,$B36)*LoadPeriods!$E$6)/(F36*Catalog!B14*Catalog!$B$40))</f>
        <v/>
      </c>
      <c r="H36" s="23" t="n">
        <f aca="false">IF(C36=0,0,SUMIFS(Calcs!$AB$4:$AB$23,Calcs!$B$4:$B$23,$A36,Calcs!$D$4:$D$23,$B36))</f>
        <v>0</v>
      </c>
      <c r="I36" s="23" t="n">
        <f aca="false">IF(F36=0,0,F36*INDEX(Catalog!$B$28:$B$30,MATCH($B36,Catalog!$A$28:$A$30,0))*Catalog!$B$40)</f>
        <v>0</v>
      </c>
      <c r="J36" s="23" t="n">
        <f aca="false">IF(F36=0,0,F36*INDEX(Catalog!$C$28:$C$30,MATCH($B36,Catalog!$A$28:$A$30,0)))</f>
        <v>0</v>
      </c>
      <c r="K36" s="23" t="n">
        <f aca="false">IF(F36=0,0,F36*INDEX(Catalog!$D$28:$D$30,MATCH($B36,Catalog!$A$28:$A$30,0))/12)</f>
        <v>0</v>
      </c>
      <c r="L36" s="9" t="str">
        <f aca="false">IF(C36=0,"",IF(J36&lt;=H36,"PTU","PayGO"))</f>
        <v/>
      </c>
    </row>
    <row r="37" customFormat="false" ht="15" hidden="false" customHeight="false" outlineLevel="0" collapsed="false">
      <c r="A37" s="21" t="str">
        <f aca="false">Catalog!A15</f>
        <v>gpt-4o-mini</v>
      </c>
      <c r="B37" s="9" t="s">
        <v>64</v>
      </c>
      <c r="C37" s="9" t="n">
        <f aca="false">COUNTIFS(Calcs!$B$4:$B$23,$A37,Calcs!$D$4:$D$23,$B37,Calcs!$A$4:$A$23,"&lt;&gt;")</f>
        <v>0</v>
      </c>
      <c r="D37" s="19" t="n">
        <f aca="false">IF(C37=0,0,MAX(SUMIFS(Calcs!$V$4:$V$23,Calcs!$B$4:$B$23,$A37,Calcs!$D$4:$D$23,$B37),SUMIFS(Calcs!$W$4:$W$23,Calcs!$B$4:$B$23,$A37,Calcs!$D$4:$D$23,$B37),SUMIFS(Calcs!$X$4:$X$23,Calcs!$B$4:$B$23,$A37,Calcs!$D$4:$D$23,$B37)))</f>
        <v>0</v>
      </c>
      <c r="E37" s="20" t="n">
        <f aca="false">IF(C37=0,0,D37/Catalog!B15)</f>
        <v>0</v>
      </c>
      <c r="F37" s="9" t="n">
        <f aca="false">IF(E37=0,0,IF(E37&lt;=IF($B37="Regional",Catalog!F15,Catalog!D15),IF($B37="Regional",Catalog!F15,Catalog!D15),IF($B37="Regional",Catalog!F15,Catalog!D15)+CEILING(E37-IF($B37="Regional",Catalog!F15,Catalog!D15),IF($B37="Regional",Catalog!G15,Catalog!E15))))</f>
        <v>0</v>
      </c>
      <c r="G37" s="22" t="str">
        <f aca="false">IF(F37=0,"",(SUMIFS(Calcs!$V$4:$V$23,Calcs!$B$4:$B$23,$A37,Calcs!$D$4:$D$23,$B37)*LoadPeriods!$E$4+SUMIFS(Calcs!$W$4:$W$23,Calcs!$B$4:$B$23,$A37,Calcs!$D$4:$D$23,$B37)*LoadPeriods!$E$5+SUMIFS(Calcs!$X$4:$X$23,Calcs!$B$4:$B$23,$A37,Calcs!$D$4:$D$23,$B37)*LoadPeriods!$E$6)/(F37*Catalog!B15*Catalog!$B$40))</f>
        <v/>
      </c>
      <c r="H37" s="23" t="n">
        <f aca="false">IF(C37=0,0,SUMIFS(Calcs!$AB$4:$AB$23,Calcs!$B$4:$B$23,$A37,Calcs!$D$4:$D$23,$B37))</f>
        <v>0</v>
      </c>
      <c r="I37" s="23" t="n">
        <f aca="false">IF(F37=0,0,F37*INDEX(Catalog!$B$28:$B$30,MATCH($B37,Catalog!$A$28:$A$30,0))*Catalog!$B$40)</f>
        <v>0</v>
      </c>
      <c r="J37" s="23" t="n">
        <f aca="false">IF(F37=0,0,F37*INDEX(Catalog!$C$28:$C$30,MATCH($B37,Catalog!$A$28:$A$30,0)))</f>
        <v>0</v>
      </c>
      <c r="K37" s="23" t="n">
        <f aca="false">IF(F37=0,0,F37*INDEX(Catalog!$D$28:$D$30,MATCH($B37,Catalog!$A$28:$A$30,0))/12)</f>
        <v>0</v>
      </c>
      <c r="L37" s="9" t="str">
        <f aca="false">IF(C37=0,"",IF(J37&lt;=H37,"PTU","PayGO"))</f>
        <v/>
      </c>
    </row>
    <row r="38" customFormat="false" ht="15" hidden="false" customHeight="false" outlineLevel="0" collapsed="false">
      <c r="A38" s="21" t="str">
        <f aca="false">Catalog!A15</f>
        <v>gpt-4o-mini</v>
      </c>
      <c r="B38" s="9" t="s">
        <v>65</v>
      </c>
      <c r="C38" s="9" t="n">
        <f aca="false">COUNTIFS(Calcs!$B$4:$B$23,$A38,Calcs!$D$4:$D$23,$B38,Calcs!$A$4:$A$23,"&lt;&gt;")</f>
        <v>0</v>
      </c>
      <c r="D38" s="19" t="n">
        <f aca="false">IF(C38=0,0,MAX(SUMIFS(Calcs!$V$4:$V$23,Calcs!$B$4:$B$23,$A38,Calcs!$D$4:$D$23,$B38),SUMIFS(Calcs!$W$4:$W$23,Calcs!$B$4:$B$23,$A38,Calcs!$D$4:$D$23,$B38),SUMIFS(Calcs!$X$4:$X$23,Calcs!$B$4:$B$23,$A38,Calcs!$D$4:$D$23,$B38)))</f>
        <v>0</v>
      </c>
      <c r="E38" s="20" t="n">
        <f aca="false">IF(C38=0,0,D38/Catalog!B15)</f>
        <v>0</v>
      </c>
      <c r="F38" s="9" t="n">
        <f aca="false">IF(E38=0,0,IF(E38&lt;=IF($B38="Regional",Catalog!F15,Catalog!D15),IF($B38="Regional",Catalog!F15,Catalog!D15),IF($B38="Regional",Catalog!F15,Catalog!D15)+CEILING(E38-IF($B38="Regional",Catalog!F15,Catalog!D15),IF($B38="Regional",Catalog!G15,Catalog!E15))))</f>
        <v>0</v>
      </c>
      <c r="G38" s="22" t="str">
        <f aca="false">IF(F38=0,"",(SUMIFS(Calcs!$V$4:$V$23,Calcs!$B$4:$B$23,$A38,Calcs!$D$4:$D$23,$B38)*LoadPeriods!$E$4+SUMIFS(Calcs!$W$4:$W$23,Calcs!$B$4:$B$23,$A38,Calcs!$D$4:$D$23,$B38)*LoadPeriods!$E$5+SUMIFS(Calcs!$X$4:$X$23,Calcs!$B$4:$B$23,$A38,Calcs!$D$4:$D$23,$B38)*LoadPeriods!$E$6)/(F38*Catalog!B15*Catalog!$B$40))</f>
        <v/>
      </c>
      <c r="H38" s="23" t="n">
        <f aca="false">IF(C38=0,0,SUMIFS(Calcs!$AB$4:$AB$23,Calcs!$B$4:$B$23,$A38,Calcs!$D$4:$D$23,$B38))</f>
        <v>0</v>
      </c>
      <c r="I38" s="23" t="n">
        <f aca="false">IF(F38=0,0,F38*INDEX(Catalog!$B$28:$B$30,MATCH($B38,Catalog!$A$28:$A$30,0))*Catalog!$B$40)</f>
        <v>0</v>
      </c>
      <c r="J38" s="23" t="n">
        <f aca="false">IF(F38=0,0,F38*INDEX(Catalog!$C$28:$C$30,MATCH($B38,Catalog!$A$28:$A$30,0)))</f>
        <v>0</v>
      </c>
      <c r="K38" s="23" t="n">
        <f aca="false">IF(F38=0,0,F38*INDEX(Catalog!$D$28:$D$30,MATCH($B38,Catalog!$A$28:$A$30,0))/12)</f>
        <v>0</v>
      </c>
      <c r="L38" s="9" t="str">
        <f aca="false">IF(C38=0,"",IF(J38&lt;=H38,"PTU","PayGO"))</f>
        <v/>
      </c>
    </row>
    <row r="39" customFormat="false" ht="15" hidden="false" customHeight="false" outlineLevel="0" collapsed="false">
      <c r="A39" s="21" t="str">
        <f aca="false">Catalog!A15</f>
        <v>gpt-4o-mini</v>
      </c>
      <c r="B39" s="9" t="s">
        <v>66</v>
      </c>
      <c r="C39" s="9" t="n">
        <f aca="false">COUNTIFS(Calcs!$B$4:$B$23,$A39,Calcs!$D$4:$D$23,$B39,Calcs!$A$4:$A$23,"&lt;&gt;")</f>
        <v>0</v>
      </c>
      <c r="D39" s="19" t="n">
        <f aca="false">IF(C39=0,0,MAX(SUMIFS(Calcs!$V$4:$V$23,Calcs!$B$4:$B$23,$A39,Calcs!$D$4:$D$23,$B39),SUMIFS(Calcs!$W$4:$W$23,Calcs!$B$4:$B$23,$A39,Calcs!$D$4:$D$23,$B39),SUMIFS(Calcs!$X$4:$X$23,Calcs!$B$4:$B$23,$A39,Calcs!$D$4:$D$23,$B39)))</f>
        <v>0</v>
      </c>
      <c r="E39" s="20" t="n">
        <f aca="false">IF(C39=0,0,D39/Catalog!B15)</f>
        <v>0</v>
      </c>
      <c r="F39" s="9" t="n">
        <f aca="false">IF(E39=0,0,IF(E39&lt;=IF($B39="Regional",Catalog!F15,Catalog!D15),IF($B39="Regional",Catalog!F15,Catalog!D15),IF($B39="Regional",Catalog!F15,Catalog!D15)+CEILING(E39-IF($B39="Regional",Catalog!F15,Catalog!D15),IF($B39="Regional",Catalog!G15,Catalog!E15))))</f>
        <v>0</v>
      </c>
      <c r="G39" s="22" t="str">
        <f aca="false">IF(F39=0,"",(SUMIFS(Calcs!$V$4:$V$23,Calcs!$B$4:$B$23,$A39,Calcs!$D$4:$D$23,$B39)*LoadPeriods!$E$4+SUMIFS(Calcs!$W$4:$W$23,Calcs!$B$4:$B$23,$A39,Calcs!$D$4:$D$23,$B39)*LoadPeriods!$E$5+SUMIFS(Calcs!$X$4:$X$23,Calcs!$B$4:$B$23,$A39,Calcs!$D$4:$D$23,$B39)*LoadPeriods!$E$6)/(F39*Catalog!B15*Catalog!$B$40))</f>
        <v/>
      </c>
      <c r="H39" s="23" t="n">
        <f aca="false">IF(C39=0,0,SUMIFS(Calcs!$AB$4:$AB$23,Calcs!$B$4:$B$23,$A39,Calcs!$D$4:$D$23,$B39))</f>
        <v>0</v>
      </c>
      <c r="I39" s="23" t="n">
        <f aca="false">IF(F39=0,0,F39*INDEX(Catalog!$B$28:$B$30,MATCH($B39,Catalog!$A$28:$A$30,0))*Catalog!$B$40)</f>
        <v>0</v>
      </c>
      <c r="J39" s="23" t="n">
        <f aca="false">IF(F39=0,0,F39*INDEX(Catalog!$C$28:$C$30,MATCH($B39,Catalog!$A$28:$A$30,0)))</f>
        <v>0</v>
      </c>
      <c r="K39" s="23" t="n">
        <f aca="false">IF(F39=0,0,F39*INDEX(Catalog!$D$28:$D$30,MATCH($B39,Catalog!$A$28:$A$30,0))/12)</f>
        <v>0</v>
      </c>
      <c r="L39" s="9" t="str">
        <f aca="false">IF(C39=0,"",IF(J39&lt;=H39,"PTU","PayGO"))</f>
        <v/>
      </c>
    </row>
    <row r="40" customFormat="false" ht="15" hidden="false" customHeight="false" outlineLevel="0" collapsed="false">
      <c r="A40" s="21" t="str">
        <f aca="false">Catalog!A16</f>
        <v>o3</v>
      </c>
      <c r="B40" s="9" t="s">
        <v>64</v>
      </c>
      <c r="C40" s="9" t="n">
        <f aca="false">COUNTIFS(Calcs!$B$4:$B$23,$A40,Calcs!$D$4:$D$23,$B40,Calcs!$A$4:$A$23,"&lt;&gt;")</f>
        <v>0</v>
      </c>
      <c r="D40" s="19" t="n">
        <f aca="false">IF(C40=0,0,MAX(SUMIFS(Calcs!$V$4:$V$23,Calcs!$B$4:$B$23,$A40,Calcs!$D$4:$D$23,$B40),SUMIFS(Calcs!$W$4:$W$23,Calcs!$B$4:$B$23,$A40,Calcs!$D$4:$D$23,$B40),SUMIFS(Calcs!$X$4:$X$23,Calcs!$B$4:$B$23,$A40,Calcs!$D$4:$D$23,$B40)))</f>
        <v>0</v>
      </c>
      <c r="E40" s="20" t="n">
        <f aca="false">IF(C40=0,0,D40/Catalog!B16)</f>
        <v>0</v>
      </c>
      <c r="F40" s="9" t="n">
        <f aca="false">IF(E40=0,0,IF(E40&lt;=IF($B40="Regional",Catalog!F16,Catalog!D16),IF($B40="Regional",Catalog!F16,Catalog!D16),IF($B40="Regional",Catalog!F16,Catalog!D16)+CEILING(E40-IF($B40="Regional",Catalog!F16,Catalog!D16),IF($B40="Regional",Catalog!G16,Catalog!E16))))</f>
        <v>0</v>
      </c>
      <c r="G40" s="22" t="str">
        <f aca="false">IF(F40=0,"",(SUMIFS(Calcs!$V$4:$V$23,Calcs!$B$4:$B$23,$A40,Calcs!$D$4:$D$23,$B40)*LoadPeriods!$E$4+SUMIFS(Calcs!$W$4:$W$23,Calcs!$B$4:$B$23,$A40,Calcs!$D$4:$D$23,$B40)*LoadPeriods!$E$5+SUMIFS(Calcs!$X$4:$X$23,Calcs!$B$4:$B$23,$A40,Calcs!$D$4:$D$23,$B40)*LoadPeriods!$E$6)/(F40*Catalog!B16*Catalog!$B$40))</f>
        <v/>
      </c>
      <c r="H40" s="23" t="n">
        <f aca="false">IF(C40=0,0,SUMIFS(Calcs!$AB$4:$AB$23,Calcs!$B$4:$B$23,$A40,Calcs!$D$4:$D$23,$B40))</f>
        <v>0</v>
      </c>
      <c r="I40" s="23" t="n">
        <f aca="false">IF(F40=0,0,F40*INDEX(Catalog!$B$28:$B$30,MATCH($B40,Catalog!$A$28:$A$30,0))*Catalog!$B$40)</f>
        <v>0</v>
      </c>
      <c r="J40" s="23" t="n">
        <f aca="false">IF(F40=0,0,F40*INDEX(Catalog!$C$28:$C$30,MATCH($B40,Catalog!$A$28:$A$30,0)))</f>
        <v>0</v>
      </c>
      <c r="K40" s="23" t="n">
        <f aca="false">IF(F40=0,0,F40*INDEX(Catalog!$D$28:$D$30,MATCH($B40,Catalog!$A$28:$A$30,0))/12)</f>
        <v>0</v>
      </c>
      <c r="L40" s="9" t="str">
        <f aca="false">IF(C40=0,"",IF(J40&lt;=H40,"PTU","PayGO"))</f>
        <v/>
      </c>
    </row>
    <row r="41" customFormat="false" ht="15" hidden="false" customHeight="false" outlineLevel="0" collapsed="false">
      <c r="A41" s="21" t="str">
        <f aca="false">Catalog!A16</f>
        <v>o3</v>
      </c>
      <c r="B41" s="9" t="s">
        <v>65</v>
      </c>
      <c r="C41" s="9" t="n">
        <f aca="false">COUNTIFS(Calcs!$B$4:$B$23,$A41,Calcs!$D$4:$D$23,$B41,Calcs!$A$4:$A$23,"&lt;&gt;")</f>
        <v>0</v>
      </c>
      <c r="D41" s="19" t="n">
        <f aca="false">IF(C41=0,0,MAX(SUMIFS(Calcs!$V$4:$V$23,Calcs!$B$4:$B$23,$A41,Calcs!$D$4:$D$23,$B41),SUMIFS(Calcs!$W$4:$W$23,Calcs!$B$4:$B$23,$A41,Calcs!$D$4:$D$23,$B41),SUMIFS(Calcs!$X$4:$X$23,Calcs!$B$4:$B$23,$A41,Calcs!$D$4:$D$23,$B41)))</f>
        <v>0</v>
      </c>
      <c r="E41" s="20" t="n">
        <f aca="false">IF(C41=0,0,D41/Catalog!B16)</f>
        <v>0</v>
      </c>
      <c r="F41" s="9" t="n">
        <f aca="false">IF(E41=0,0,IF(E41&lt;=IF($B41="Regional",Catalog!F16,Catalog!D16),IF($B41="Regional",Catalog!F16,Catalog!D16),IF($B41="Regional",Catalog!F16,Catalog!D16)+CEILING(E41-IF($B41="Regional",Catalog!F16,Catalog!D16),IF($B41="Regional",Catalog!G16,Catalog!E16))))</f>
        <v>0</v>
      </c>
      <c r="G41" s="22" t="str">
        <f aca="false">IF(F41=0,"",(SUMIFS(Calcs!$V$4:$V$23,Calcs!$B$4:$B$23,$A41,Calcs!$D$4:$D$23,$B41)*LoadPeriods!$E$4+SUMIFS(Calcs!$W$4:$W$23,Calcs!$B$4:$B$23,$A41,Calcs!$D$4:$D$23,$B41)*LoadPeriods!$E$5+SUMIFS(Calcs!$X$4:$X$23,Calcs!$B$4:$B$23,$A41,Calcs!$D$4:$D$23,$B41)*LoadPeriods!$E$6)/(F41*Catalog!B16*Catalog!$B$40))</f>
        <v/>
      </c>
      <c r="H41" s="23" t="n">
        <f aca="false">IF(C41=0,0,SUMIFS(Calcs!$AB$4:$AB$23,Calcs!$B$4:$B$23,$A41,Calcs!$D$4:$D$23,$B41))</f>
        <v>0</v>
      </c>
      <c r="I41" s="23" t="n">
        <f aca="false">IF(F41=0,0,F41*INDEX(Catalog!$B$28:$B$30,MATCH($B41,Catalog!$A$28:$A$30,0))*Catalog!$B$40)</f>
        <v>0</v>
      </c>
      <c r="J41" s="23" t="n">
        <f aca="false">IF(F41=0,0,F41*INDEX(Catalog!$C$28:$C$30,MATCH($B41,Catalog!$A$28:$A$30,0)))</f>
        <v>0</v>
      </c>
      <c r="K41" s="23" t="n">
        <f aca="false">IF(F41=0,0,F41*INDEX(Catalog!$D$28:$D$30,MATCH($B41,Catalog!$A$28:$A$30,0))/12)</f>
        <v>0</v>
      </c>
      <c r="L41" s="9" t="str">
        <f aca="false">IF(C41=0,"",IF(J41&lt;=H41,"PTU","PayGO"))</f>
        <v/>
      </c>
    </row>
    <row r="42" customFormat="false" ht="15" hidden="false" customHeight="false" outlineLevel="0" collapsed="false">
      <c r="A42" s="21" t="str">
        <f aca="false">Catalog!A16</f>
        <v>o3</v>
      </c>
      <c r="B42" s="9" t="s">
        <v>66</v>
      </c>
      <c r="C42" s="9" t="n">
        <f aca="false">COUNTIFS(Calcs!$B$4:$B$23,$A42,Calcs!$D$4:$D$23,$B42,Calcs!$A$4:$A$23,"&lt;&gt;")</f>
        <v>0</v>
      </c>
      <c r="D42" s="19" t="n">
        <f aca="false">IF(C42=0,0,MAX(SUMIFS(Calcs!$V$4:$V$23,Calcs!$B$4:$B$23,$A42,Calcs!$D$4:$D$23,$B42),SUMIFS(Calcs!$W$4:$W$23,Calcs!$B$4:$B$23,$A42,Calcs!$D$4:$D$23,$B42),SUMIFS(Calcs!$X$4:$X$23,Calcs!$B$4:$B$23,$A42,Calcs!$D$4:$D$23,$B42)))</f>
        <v>0</v>
      </c>
      <c r="E42" s="20" t="n">
        <f aca="false">IF(C42=0,0,D42/Catalog!B16)</f>
        <v>0</v>
      </c>
      <c r="F42" s="9" t="n">
        <f aca="false">IF(E42=0,0,IF(E42&lt;=IF($B42="Regional",Catalog!F16,Catalog!D16),IF($B42="Regional",Catalog!F16,Catalog!D16),IF($B42="Regional",Catalog!F16,Catalog!D16)+CEILING(E42-IF($B42="Regional",Catalog!F16,Catalog!D16),IF($B42="Regional",Catalog!G16,Catalog!E16))))</f>
        <v>0</v>
      </c>
      <c r="G42" s="22" t="str">
        <f aca="false">IF(F42=0,"",(SUMIFS(Calcs!$V$4:$V$23,Calcs!$B$4:$B$23,$A42,Calcs!$D$4:$D$23,$B42)*LoadPeriods!$E$4+SUMIFS(Calcs!$W$4:$W$23,Calcs!$B$4:$B$23,$A42,Calcs!$D$4:$D$23,$B42)*LoadPeriods!$E$5+SUMIFS(Calcs!$X$4:$X$23,Calcs!$B$4:$B$23,$A42,Calcs!$D$4:$D$23,$B42)*LoadPeriods!$E$6)/(F42*Catalog!B16*Catalog!$B$40))</f>
        <v/>
      </c>
      <c r="H42" s="23" t="n">
        <f aca="false">IF(C42=0,0,SUMIFS(Calcs!$AB$4:$AB$23,Calcs!$B$4:$B$23,$A42,Calcs!$D$4:$D$23,$B42))</f>
        <v>0</v>
      </c>
      <c r="I42" s="23" t="n">
        <f aca="false">IF(F42=0,0,F42*INDEX(Catalog!$B$28:$B$30,MATCH($B42,Catalog!$A$28:$A$30,0))*Catalog!$B$40)</f>
        <v>0</v>
      </c>
      <c r="J42" s="23" t="n">
        <f aca="false">IF(F42=0,0,F42*INDEX(Catalog!$C$28:$C$30,MATCH($B42,Catalog!$A$28:$A$30,0)))</f>
        <v>0</v>
      </c>
      <c r="K42" s="23" t="n">
        <f aca="false">IF(F42=0,0,F42*INDEX(Catalog!$D$28:$D$30,MATCH($B42,Catalog!$A$28:$A$30,0))/12)</f>
        <v>0</v>
      </c>
      <c r="L42" s="9" t="str">
        <f aca="false">IF(C42=0,"",IF(J42&lt;=H42,"PTU","PayGO"))</f>
        <v/>
      </c>
    </row>
    <row r="43" customFormat="false" ht="15" hidden="false" customHeight="false" outlineLevel="0" collapsed="false">
      <c r="A43" s="21" t="str">
        <f aca="false">Catalog!A17</f>
        <v>o4-mini</v>
      </c>
      <c r="B43" s="9" t="s">
        <v>64</v>
      </c>
      <c r="C43" s="9" t="n">
        <f aca="false">COUNTIFS(Calcs!$B$4:$B$23,$A43,Calcs!$D$4:$D$23,$B43,Calcs!$A$4:$A$23,"&lt;&gt;")</f>
        <v>0</v>
      </c>
      <c r="D43" s="19" t="n">
        <f aca="false">IF(C43=0,0,MAX(SUMIFS(Calcs!$V$4:$V$23,Calcs!$B$4:$B$23,$A43,Calcs!$D$4:$D$23,$B43),SUMIFS(Calcs!$W$4:$W$23,Calcs!$B$4:$B$23,$A43,Calcs!$D$4:$D$23,$B43),SUMIFS(Calcs!$X$4:$X$23,Calcs!$B$4:$B$23,$A43,Calcs!$D$4:$D$23,$B43)))</f>
        <v>0</v>
      </c>
      <c r="E43" s="20" t="n">
        <f aca="false">IF(C43=0,0,D43/Catalog!B17)</f>
        <v>0</v>
      </c>
      <c r="F43" s="9" t="n">
        <f aca="false">IF(E43=0,0,IF(E43&lt;=IF($B43="Regional",Catalog!F17,Catalog!D17),IF($B43="Regional",Catalog!F17,Catalog!D17),IF($B43="Regional",Catalog!F17,Catalog!D17)+CEILING(E43-IF($B43="Regional",Catalog!F17,Catalog!D17),IF($B43="Regional",Catalog!G17,Catalog!E17))))</f>
        <v>0</v>
      </c>
      <c r="G43" s="22" t="str">
        <f aca="false">IF(F43=0,"",(SUMIFS(Calcs!$V$4:$V$23,Calcs!$B$4:$B$23,$A43,Calcs!$D$4:$D$23,$B43)*LoadPeriods!$E$4+SUMIFS(Calcs!$W$4:$W$23,Calcs!$B$4:$B$23,$A43,Calcs!$D$4:$D$23,$B43)*LoadPeriods!$E$5+SUMIFS(Calcs!$X$4:$X$23,Calcs!$B$4:$B$23,$A43,Calcs!$D$4:$D$23,$B43)*LoadPeriods!$E$6)/(F43*Catalog!B17*Catalog!$B$40))</f>
        <v/>
      </c>
      <c r="H43" s="23" t="n">
        <f aca="false">IF(C43=0,0,SUMIFS(Calcs!$AB$4:$AB$23,Calcs!$B$4:$B$23,$A43,Calcs!$D$4:$D$23,$B43))</f>
        <v>0</v>
      </c>
      <c r="I43" s="23" t="n">
        <f aca="false">IF(F43=0,0,F43*INDEX(Catalog!$B$28:$B$30,MATCH($B43,Catalog!$A$28:$A$30,0))*Catalog!$B$40)</f>
        <v>0</v>
      </c>
      <c r="J43" s="23" t="n">
        <f aca="false">IF(F43=0,0,F43*INDEX(Catalog!$C$28:$C$30,MATCH($B43,Catalog!$A$28:$A$30,0)))</f>
        <v>0</v>
      </c>
      <c r="K43" s="23" t="n">
        <f aca="false">IF(F43=0,0,F43*INDEX(Catalog!$D$28:$D$30,MATCH($B43,Catalog!$A$28:$A$30,0))/12)</f>
        <v>0</v>
      </c>
      <c r="L43" s="9" t="str">
        <f aca="false">IF(C43=0,"",IF(J43&lt;=H43,"PTU","PayGO"))</f>
        <v/>
      </c>
    </row>
    <row r="44" customFormat="false" ht="15" hidden="false" customHeight="false" outlineLevel="0" collapsed="false">
      <c r="A44" s="21" t="str">
        <f aca="false">Catalog!A17</f>
        <v>o4-mini</v>
      </c>
      <c r="B44" s="9" t="s">
        <v>65</v>
      </c>
      <c r="C44" s="9" t="n">
        <f aca="false">COUNTIFS(Calcs!$B$4:$B$23,$A44,Calcs!$D$4:$D$23,$B44,Calcs!$A$4:$A$23,"&lt;&gt;")</f>
        <v>0</v>
      </c>
      <c r="D44" s="19" t="n">
        <f aca="false">IF(C44=0,0,MAX(SUMIFS(Calcs!$V$4:$V$23,Calcs!$B$4:$B$23,$A44,Calcs!$D$4:$D$23,$B44),SUMIFS(Calcs!$W$4:$W$23,Calcs!$B$4:$B$23,$A44,Calcs!$D$4:$D$23,$B44),SUMIFS(Calcs!$X$4:$X$23,Calcs!$B$4:$B$23,$A44,Calcs!$D$4:$D$23,$B44)))</f>
        <v>0</v>
      </c>
      <c r="E44" s="20" t="n">
        <f aca="false">IF(C44=0,0,D44/Catalog!B17)</f>
        <v>0</v>
      </c>
      <c r="F44" s="9" t="n">
        <f aca="false">IF(E44=0,0,IF(E44&lt;=IF($B44="Regional",Catalog!F17,Catalog!D17),IF($B44="Regional",Catalog!F17,Catalog!D17),IF($B44="Regional",Catalog!F17,Catalog!D17)+CEILING(E44-IF($B44="Regional",Catalog!F17,Catalog!D17),IF($B44="Regional",Catalog!G17,Catalog!E17))))</f>
        <v>0</v>
      </c>
      <c r="G44" s="22" t="str">
        <f aca="false">IF(F44=0,"",(SUMIFS(Calcs!$V$4:$V$23,Calcs!$B$4:$B$23,$A44,Calcs!$D$4:$D$23,$B44)*LoadPeriods!$E$4+SUMIFS(Calcs!$W$4:$W$23,Calcs!$B$4:$B$23,$A44,Calcs!$D$4:$D$23,$B44)*LoadPeriods!$E$5+SUMIFS(Calcs!$X$4:$X$23,Calcs!$B$4:$B$23,$A44,Calcs!$D$4:$D$23,$B44)*LoadPeriods!$E$6)/(F44*Catalog!B17*Catalog!$B$40))</f>
        <v/>
      </c>
      <c r="H44" s="23" t="n">
        <f aca="false">IF(C44=0,0,SUMIFS(Calcs!$AB$4:$AB$23,Calcs!$B$4:$B$23,$A44,Calcs!$D$4:$D$23,$B44))</f>
        <v>0</v>
      </c>
      <c r="I44" s="23" t="n">
        <f aca="false">IF(F44=0,0,F44*INDEX(Catalog!$B$28:$B$30,MATCH($B44,Catalog!$A$28:$A$30,0))*Catalog!$B$40)</f>
        <v>0</v>
      </c>
      <c r="J44" s="23" t="n">
        <f aca="false">IF(F44=0,0,F44*INDEX(Catalog!$C$28:$C$30,MATCH($B44,Catalog!$A$28:$A$30,0)))</f>
        <v>0</v>
      </c>
      <c r="K44" s="23" t="n">
        <f aca="false">IF(F44=0,0,F44*INDEX(Catalog!$D$28:$D$30,MATCH($B44,Catalog!$A$28:$A$30,0))/12)</f>
        <v>0</v>
      </c>
      <c r="L44" s="9" t="str">
        <f aca="false">IF(C44=0,"",IF(J44&lt;=H44,"PTU","PayGO"))</f>
        <v/>
      </c>
    </row>
    <row r="45" customFormat="false" ht="15" hidden="false" customHeight="false" outlineLevel="0" collapsed="false">
      <c r="A45" s="21" t="str">
        <f aca="false">Catalog!A17</f>
        <v>o4-mini</v>
      </c>
      <c r="B45" s="9" t="s">
        <v>66</v>
      </c>
      <c r="C45" s="9" t="n">
        <f aca="false">COUNTIFS(Calcs!$B$4:$B$23,$A45,Calcs!$D$4:$D$23,$B45,Calcs!$A$4:$A$23,"&lt;&gt;")</f>
        <v>0</v>
      </c>
      <c r="D45" s="19" t="n">
        <f aca="false">IF(C45=0,0,MAX(SUMIFS(Calcs!$V$4:$V$23,Calcs!$B$4:$B$23,$A45,Calcs!$D$4:$D$23,$B45),SUMIFS(Calcs!$W$4:$W$23,Calcs!$B$4:$B$23,$A45,Calcs!$D$4:$D$23,$B45),SUMIFS(Calcs!$X$4:$X$23,Calcs!$B$4:$B$23,$A45,Calcs!$D$4:$D$23,$B45)))</f>
        <v>0</v>
      </c>
      <c r="E45" s="20" t="n">
        <f aca="false">IF(C45=0,0,D45/Catalog!B17)</f>
        <v>0</v>
      </c>
      <c r="F45" s="9" t="n">
        <f aca="false">IF(E45=0,0,IF(E45&lt;=IF($B45="Regional",Catalog!F17,Catalog!D17),IF($B45="Regional",Catalog!F17,Catalog!D17),IF($B45="Regional",Catalog!F17,Catalog!D17)+CEILING(E45-IF($B45="Regional",Catalog!F17,Catalog!D17),IF($B45="Regional",Catalog!G17,Catalog!E17))))</f>
        <v>0</v>
      </c>
      <c r="G45" s="22" t="str">
        <f aca="false">IF(F45=0,"",(SUMIFS(Calcs!$V$4:$V$23,Calcs!$B$4:$B$23,$A45,Calcs!$D$4:$D$23,$B45)*LoadPeriods!$E$4+SUMIFS(Calcs!$W$4:$W$23,Calcs!$B$4:$B$23,$A45,Calcs!$D$4:$D$23,$B45)*LoadPeriods!$E$5+SUMIFS(Calcs!$X$4:$X$23,Calcs!$B$4:$B$23,$A45,Calcs!$D$4:$D$23,$B45)*LoadPeriods!$E$6)/(F45*Catalog!B17*Catalog!$B$40))</f>
        <v/>
      </c>
      <c r="H45" s="23" t="n">
        <f aca="false">IF(C45=0,0,SUMIFS(Calcs!$AB$4:$AB$23,Calcs!$B$4:$B$23,$A45,Calcs!$D$4:$D$23,$B45))</f>
        <v>0</v>
      </c>
      <c r="I45" s="23" t="n">
        <f aca="false">IF(F45=0,0,F45*INDEX(Catalog!$B$28:$B$30,MATCH($B45,Catalog!$A$28:$A$30,0))*Catalog!$B$40)</f>
        <v>0</v>
      </c>
      <c r="J45" s="23" t="n">
        <f aca="false">IF(F45=0,0,F45*INDEX(Catalog!$C$28:$C$30,MATCH($B45,Catalog!$A$28:$A$30,0)))</f>
        <v>0</v>
      </c>
      <c r="K45" s="23" t="n">
        <f aca="false">IF(F45=0,0,F45*INDEX(Catalog!$D$28:$D$30,MATCH($B45,Catalog!$A$28:$A$30,0))/12)</f>
        <v>0</v>
      </c>
      <c r="L45" s="9" t="str">
        <f aca="false">IF(C45=0,"",IF(J45&lt;=H45,"PTU","PayGO"))</f>
        <v/>
      </c>
    </row>
    <row r="47" customFormat="false" ht="15" hidden="false" customHeight="false" outlineLevel="0" collapsed="false">
      <c r="A47" s="3" t="s">
        <v>131</v>
      </c>
      <c r="F47" s="3" t="n">
        <f aca="false">SUM(F4:F45)</f>
        <v>205</v>
      </c>
      <c r="H47" s="24" t="n">
        <f aca="false">SUM(H4:H45)</f>
        <v>19838.0547924107</v>
      </c>
      <c r="I47" s="24" t="n">
        <f aca="false">SUM(I4:I45)</f>
        <v>149752.5</v>
      </c>
      <c r="J47" s="24" t="n">
        <f aca="false">SUM(J4:J45)</f>
        <v>53300</v>
      </c>
      <c r="K47" s="24" t="n">
        <f aca="false">SUM(K4:K45)</f>
        <v>45305</v>
      </c>
    </row>
    <row r="49" customFormat="false" ht="15" hidden="false" customHeight="false" outlineLevel="0" collapsed="false">
      <c r="A49" s="3" t="s">
        <v>132</v>
      </c>
      <c r="B49" s="25" t="n">
        <f aca="false">H47</f>
        <v>19838.0547924107</v>
      </c>
    </row>
    <row r="50" customFormat="false" ht="15" hidden="false" customHeight="false" outlineLevel="0" collapsed="false">
      <c r="A50" s="3" t="s">
        <v>133</v>
      </c>
      <c r="B50" s="25" t="n">
        <f aca="false">J47</f>
        <v>53300</v>
      </c>
    </row>
    <row r="51" customFormat="false" ht="15" hidden="false" customHeight="false" outlineLevel="0" collapsed="false">
      <c r="A51" s="3" t="s">
        <v>134</v>
      </c>
      <c r="B51" s="25" t="n">
        <f aca="false">SUMPRODUCT((C4:C45&gt;0)*IF(J4:J45&lt;=H4:H45,J4:J45,H4:H45))</f>
        <v>19838.0547924107</v>
      </c>
    </row>
    <row r="52" customFormat="false" ht="15" hidden="false" customHeight="false" outlineLevel="0" collapsed="false">
      <c r="A52" s="3" t="s">
        <v>135</v>
      </c>
      <c r="B52" s="26" t="n">
        <f aca="false">IF(H47=0,"",(J47-H47)/H47)</f>
        <v>1.68675535770728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2026-07-08T21:18:02Z</dcterms:created>
  <dc:creator>openpyxl</dc:creator>
  <dc:description/>
  <dc:language>en-US</dc:language>
  <cp:lastModifiedBy/>
  <dcterms:modified xsi:type="dcterms:W3CDTF">2026-07-08T21:18:03Z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